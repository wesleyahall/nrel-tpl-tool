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vaughn\Documents\NREL\Water\TPL Assessment Tool\"/>
    </mc:Choice>
  </mc:AlternateContent>
  <xr:revisionPtr revIDLastSave="0" documentId="13_ncr:1_{6FDFD97E-BEEA-4DF4-9513-EEC2A802A31D}" xr6:coauthVersionLast="45" xr6:coauthVersionMax="45" xr10:uidLastSave="{00000000-0000-0000-0000-000000000000}"/>
  <bookViews>
    <workbookView xWindow="-28020" yWindow="-1125" windowWidth="28020" windowHeight="14985" tabRatio="695" activeTab="2" xr2:uid="{00000000-000D-0000-FFFF-FFFF00000000}"/>
  </bookViews>
  <sheets>
    <sheet name="Tool Overview" sheetId="11" r:id="rId1"/>
    <sheet name="TPL scoring" sheetId="1" r:id="rId2"/>
    <sheet name="Cost of Energy" sheetId="2" r:id="rId3"/>
    <sheet name="Investment Opportunity" sheetId="3" r:id="rId4"/>
    <sheet name="Grid Operations" sheetId="4" r:id="rId5"/>
    <sheet name="Beneficial to Society" sheetId="5" r:id="rId6"/>
    <sheet name="Permitting and Certification" sheetId="6" r:id="rId7"/>
    <sheet name=" Safety and Function" sheetId="7" r:id="rId8"/>
    <sheet name="Globally" sheetId="8" r:id="rId9"/>
    <sheet name="TRL Def" sheetId="10" r:id="rId10"/>
  </sheets>
  <definedNames>
    <definedName name="Attractive_C2" localSheetId="1">'TPL scoring'!$J$31</definedName>
    <definedName name="Attractive_C2">#REF!</definedName>
    <definedName name="Available" localSheetId="1">'TPL scoring'!$J$29</definedName>
    <definedName name="Available">#REF!</definedName>
    <definedName name="Beneficial_C4" localSheetId="1">'TPL scoring'!$J$39</definedName>
    <definedName name="Beneficial_C4">#REF!</definedName>
    <definedName name="CAPEX" localSheetId="1">'TPL scoring'!$J$18</definedName>
    <definedName name="CAPEX">#REF!</definedName>
    <definedName name="CostEffectiveness" localSheetId="1">'TPL scoring'!$H$17</definedName>
    <definedName name="CostEffectiveness">#REF!</definedName>
    <definedName name="Generate" localSheetId="1">'TPL scoring'!$J$26</definedName>
    <definedName name="Generate">#REF!</definedName>
    <definedName name="Global_C7" localSheetId="1">'TPL scoring'!$E$54</definedName>
    <definedName name="Global_C7">#REF!</definedName>
    <definedName name="Grid_C3" localSheetId="1">'TPL scoring'!$J$37</definedName>
    <definedName name="Grid_C3">#REF!</definedName>
    <definedName name="Market_C1" localSheetId="1">'TPL scoring'!$J$17</definedName>
    <definedName name="Market_C1">#REF!</definedName>
    <definedName name="OPEX" localSheetId="1">'TPL scoring'!$J$23</definedName>
    <definedName name="OPEX">#REF!</definedName>
    <definedName name="Permit_C5" localSheetId="1">'TPL scoring'!$J$42</definedName>
    <definedName name="Permit_C5">#REF!</definedName>
    <definedName name="Safety_C6" localSheetId="1">'TPL scoring'!$E$46</definedName>
    <definedName name="Safety_C6">#REF!</definedName>
    <definedName name="Z_76686054_FB4D_4FEC_BFB1_B4B4AB4B4565_.wvu.Cols" localSheetId="7" hidden="1">' Safety and Function'!#REF!</definedName>
    <definedName name="Z_76686054_FB4D_4FEC_BFB1_B4B4AB4B4565_.wvu.Cols" localSheetId="5" hidden="1">'Beneficial to Society'!#REF!</definedName>
    <definedName name="Z_76686054_FB4D_4FEC_BFB1_B4B4AB4B4565_.wvu.Cols" localSheetId="2" hidden="1">'Cost of Energy'!$K:$L</definedName>
    <definedName name="Z_76686054_FB4D_4FEC_BFB1_B4B4AB4B4565_.wvu.Cols" localSheetId="8" hidden="1">Globally!#REF!</definedName>
    <definedName name="Z_76686054_FB4D_4FEC_BFB1_B4B4AB4B4565_.wvu.Cols" localSheetId="4" hidden="1">'Grid Operations'!#REF!</definedName>
    <definedName name="Z_76686054_FB4D_4FEC_BFB1_B4B4AB4B4565_.wvu.Cols" localSheetId="3" hidden="1">'Investment Opportunity'!#REF!</definedName>
    <definedName name="Z_76686054_FB4D_4FEC_BFB1_B4B4AB4B4565_.wvu.Cols" localSheetId="6" hidden="1">'Permitting and Certification'!#REF!</definedName>
    <definedName name="Z_76686054_FB4D_4FEC_BFB1_B4B4AB4B4565_.wvu.Cols" localSheetId="1" hidden="1">'TPL scoring'!$K:$K</definedName>
    <definedName name="Z_76686054_FB4D_4FEC_BFB1_B4B4AB4B4565_.wvu.Rows" localSheetId="7" hidden="1">' Safety and Function'!#REF!</definedName>
    <definedName name="Z_76686054_FB4D_4FEC_BFB1_B4B4AB4B4565_.wvu.Rows" localSheetId="5" hidden="1">'Beneficial to Society'!#REF!,'Beneficial to Society'!#REF!,'Beneficial to Society'!#REF!,'Beneficial to Society'!#REF!</definedName>
    <definedName name="Z_76686054_FB4D_4FEC_BFB1_B4B4AB4B4565_.wvu.Rows" localSheetId="2" hidden="1">'Cost of Energy'!#REF!,'Cost of Energy'!#REF!,'Cost of Energy'!#REF!,'Cost of Energy'!#REF!,'Cost of Energy'!#REF!,'Cost of Energy'!#REF!,'Cost of Energy'!#REF!,'Cost of Energy'!#REF!,'Cost of Energy'!#REF!,'Cost of Energy'!#REF!,'Cost of Energy'!#REF!,'Cost of Energy'!#REF!,'Cost of Energy'!#REF!</definedName>
    <definedName name="Z_76686054_FB4D_4FEC_BFB1_B4B4AB4B4565_.wvu.Rows" localSheetId="8" hidden="1">Globally!$11:$12</definedName>
    <definedName name="Z_76686054_FB4D_4FEC_BFB1_B4B4AB4B4565_.wvu.Rows" localSheetId="4" hidden="1">'Grid Operations'!#REF!,'Grid Operations'!$7:$10</definedName>
    <definedName name="Z_76686054_FB4D_4FEC_BFB1_B4B4AB4B4565_.wvu.Rows" localSheetId="3" hidden="1">'Investment Opportunity'!#REF!,'Investment Opportunity'!#REF!,'Investment Opportunity'!#REF!,'Investment Opportunity'!#REF!,' Safety and Function'!#REF!,' Safety and Function'!#REF!,' Safety and Function'!#REF!,' Safety and Function'!#REF!,' Safety and Function'!#REF!</definedName>
    <definedName name="Z_76686054_FB4D_4FEC_BFB1_B4B4AB4B4565_.wvu.Rows" localSheetId="6" hidden="1">'Permitting and Certification'!#REF!,'Permitting and Certification'!#REF!</definedName>
  </definedNames>
  <calcPr calcId="191029"/>
  <customWorkbookViews>
    <customWorkbookView name="NREL - Personal View" guid="{76686054-FB4D-4FEC-BFB1-B4B4AB4B4565}" mergeInterval="0" personalView="1" maximized="1" xWindow="-9" yWindow="-9" windowWidth="1938" windowHeight="1050" tabRatio="695"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 i="6" l="1"/>
  <c r="H8" i="6"/>
  <c r="I7" i="6" s="1"/>
  <c r="I10" i="6"/>
  <c r="H11" i="6"/>
  <c r="H12" i="6"/>
  <c r="H7" i="7" l="1"/>
  <c r="H23" i="2" l="1"/>
  <c r="H22" i="2"/>
  <c r="F62" i="2" l="1"/>
  <c r="H9" i="8" l="1"/>
  <c r="H27" i="7"/>
  <c r="I26" i="7" s="1"/>
  <c r="H14" i="7"/>
  <c r="H13" i="7"/>
  <c r="I12" i="7" s="1"/>
  <c r="H7" i="5"/>
  <c r="H63" i="2" l="1"/>
  <c r="H55" i="2"/>
  <c r="H54" i="2"/>
  <c r="H43" i="2"/>
  <c r="H42" i="2"/>
  <c r="I41" i="2" s="1"/>
  <c r="H36" i="2"/>
  <c r="H34" i="2"/>
  <c r="H33" i="2"/>
  <c r="H10" i="2" l="1"/>
  <c r="H9" i="2"/>
  <c r="F39" i="2" l="1"/>
  <c r="H12" i="8" l="1"/>
  <c r="H11" i="8"/>
  <c r="H10" i="8"/>
  <c r="H8" i="8"/>
  <c r="H7" i="8"/>
  <c r="H6" i="8"/>
  <c r="H5" i="8"/>
  <c r="I4" i="8" s="1"/>
  <c r="H25" i="7"/>
  <c r="I24" i="7" s="1"/>
  <c r="H23" i="7"/>
  <c r="I22" i="7" s="1"/>
  <c r="H21" i="7"/>
  <c r="H20" i="7"/>
  <c r="I19" i="7" s="1"/>
  <c r="H18" i="7"/>
  <c r="H17" i="7"/>
  <c r="H16" i="7"/>
  <c r="I15" i="7" s="1"/>
  <c r="H10" i="7"/>
  <c r="H9" i="7"/>
  <c r="H8" i="7"/>
  <c r="H6" i="7"/>
  <c r="H5" i="7"/>
  <c r="I4" i="6"/>
  <c r="H12" i="5"/>
  <c r="H11" i="5"/>
  <c r="H10" i="5"/>
  <c r="H6" i="5"/>
  <c r="H5" i="5"/>
  <c r="H5" i="4"/>
  <c r="I4" i="4" s="1"/>
  <c r="H17" i="3"/>
  <c r="H16" i="3"/>
  <c r="H15" i="3"/>
  <c r="I14" i="3" s="1"/>
  <c r="H13" i="3"/>
  <c r="I12" i="3" s="1"/>
  <c r="H11" i="3"/>
  <c r="H10" i="3"/>
  <c r="H9" i="3"/>
  <c r="H7" i="3"/>
  <c r="H6" i="3"/>
  <c r="H5" i="3"/>
  <c r="I4" i="3" s="1"/>
  <c r="H62" i="2"/>
  <c r="F61" i="2"/>
  <c r="H61" i="2" s="1"/>
  <c r="H58" i="2"/>
  <c r="H57" i="2"/>
  <c r="H51" i="2"/>
  <c r="H50" i="2"/>
  <c r="H49" i="2"/>
  <c r="H48" i="2"/>
  <c r="H47" i="2"/>
  <c r="H46" i="2"/>
  <c r="H40" i="2"/>
  <c r="H39" i="2"/>
  <c r="H35" i="2"/>
  <c r="H32" i="2"/>
  <c r="I31" i="2" s="1"/>
  <c r="H30" i="2"/>
  <c r="I29" i="2" s="1"/>
  <c r="H28" i="2"/>
  <c r="H27" i="2"/>
  <c r="H26" i="2"/>
  <c r="H25" i="2"/>
  <c r="H20" i="2"/>
  <c r="H19" i="2"/>
  <c r="H18" i="2"/>
  <c r="H16" i="2"/>
  <c r="H15" i="2"/>
  <c r="H14" i="2"/>
  <c r="H13" i="2"/>
  <c r="H12" i="2"/>
  <c r="H8" i="2"/>
  <c r="H7" i="2"/>
  <c r="H5" i="2"/>
  <c r="I38" i="2" l="1"/>
  <c r="I52" i="2"/>
  <c r="I9" i="5"/>
  <c r="I8" i="3"/>
  <c r="I4" i="5"/>
  <c r="I24" i="2"/>
  <c r="I4" i="7"/>
  <c r="I45" i="2"/>
  <c r="I60" i="2"/>
  <c r="I4" i="2"/>
  <c r="H34" i="1"/>
  <c r="H33" i="1"/>
  <c r="H38" i="1" l="1"/>
  <c r="H20" i="1"/>
  <c r="H21" i="1"/>
  <c r="H22" i="1"/>
  <c r="H19" i="1"/>
  <c r="H25" i="1"/>
  <c r="H24" i="1"/>
  <c r="H30" i="1"/>
  <c r="H41" i="1"/>
  <c r="H40" i="1"/>
  <c r="E44" i="1" l="1"/>
  <c r="E19" i="1" l="1"/>
  <c r="E30" i="1"/>
  <c r="E35" i="1"/>
  <c r="E38" i="1"/>
  <c r="J37" i="1" s="1"/>
  <c r="E10" i="1" s="1"/>
  <c r="E34" i="1"/>
  <c r="I34" i="1" s="1"/>
  <c r="E36" i="1"/>
  <c r="E20" i="1"/>
  <c r="E28" i="1"/>
  <c r="E27" i="1"/>
  <c r="E24" i="1"/>
  <c r="I24" i="1" s="1"/>
  <c r="E33" i="1"/>
  <c r="I33" i="1" s="1"/>
  <c r="E41" i="1"/>
  <c r="I41" i="1" s="1"/>
  <c r="E45" i="1"/>
  <c r="L45" i="1" s="1"/>
  <c r="E53" i="1"/>
  <c r="L53" i="1" s="1"/>
  <c r="E21" i="1"/>
  <c r="E51" i="1"/>
  <c r="L51" i="1" s="1"/>
  <c r="E49" i="1"/>
  <c r="E40" i="1"/>
  <c r="E43" i="1"/>
  <c r="E52" i="1"/>
  <c r="E50" i="1"/>
  <c r="E25" i="1"/>
  <c r="I25" i="1" s="1"/>
  <c r="E22" i="1"/>
  <c r="I22" i="1" s="1"/>
  <c r="J32" i="1" l="1"/>
  <c r="J31" i="1" s="1"/>
  <c r="E9" i="1" s="1"/>
  <c r="J48" i="1"/>
  <c r="J42" i="1"/>
  <c r="E12" i="1" s="1"/>
  <c r="J26" i="1"/>
  <c r="E7" i="1" s="1"/>
  <c r="J23" i="1"/>
  <c r="E6" i="1" s="1"/>
  <c r="K21" i="1"/>
  <c r="I21" i="1"/>
  <c r="L20" i="1"/>
  <c r="I20" i="1"/>
  <c r="L49" i="1"/>
  <c r="L19" i="1"/>
  <c r="I19" i="1"/>
  <c r="E54" i="1"/>
  <c r="K46" i="1"/>
  <c r="K13" i="1" s="1"/>
  <c r="F13" i="1" s="1"/>
  <c r="E47" i="1"/>
  <c r="J47" i="1" s="1"/>
  <c r="K53" i="1"/>
  <c r="L21" i="1"/>
  <c r="K45" i="1"/>
  <c r="K51" i="1"/>
  <c r="K41" i="1"/>
  <c r="L41" i="1"/>
  <c r="K49" i="1"/>
  <c r="K20" i="1"/>
  <c r="K19" i="1"/>
  <c r="K27" i="1"/>
  <c r="L27" i="1"/>
  <c r="L34" i="1"/>
  <c r="K34" i="1"/>
  <c r="L52" i="1"/>
  <c r="K52" i="1"/>
  <c r="K33" i="1"/>
  <c r="L33" i="1"/>
  <c r="L24" i="1"/>
  <c r="K24" i="1"/>
  <c r="K36" i="1"/>
  <c r="L36" i="1"/>
  <c r="I30" i="1"/>
  <c r="K30" i="1"/>
  <c r="L30" i="1"/>
  <c r="K22" i="1"/>
  <c r="L22" i="1"/>
  <c r="L50" i="1"/>
  <c r="K50" i="1"/>
  <c r="I40" i="1"/>
  <c r="J39" i="1" s="1"/>
  <c r="E11" i="1" s="1"/>
  <c r="K40" i="1"/>
  <c r="L40" i="1"/>
  <c r="K43" i="1"/>
  <c r="L43" i="1"/>
  <c r="L25" i="1"/>
  <c r="K25" i="1"/>
  <c r="I38" i="1"/>
  <c r="K38" i="1"/>
  <c r="K10" i="1" s="1"/>
  <c r="F10" i="1" s="1"/>
  <c r="L38" i="1"/>
  <c r="K35" i="1"/>
  <c r="L35" i="1"/>
  <c r="L28" i="1"/>
  <c r="K28" i="1"/>
  <c r="L54" i="1" l="1"/>
  <c r="J54" i="1"/>
  <c r="E14" i="1" s="1"/>
  <c r="K9" i="1"/>
  <c r="F9" i="1" s="1"/>
  <c r="K54" i="1"/>
  <c r="K14" i="1" s="1"/>
  <c r="F14" i="1" s="1"/>
  <c r="J18" i="1"/>
  <c r="E5" i="1" s="1"/>
  <c r="J46" i="1"/>
  <c r="L46" i="1"/>
  <c r="K12" i="1"/>
  <c r="F12" i="1" s="1"/>
  <c r="K11" i="1"/>
  <c r="F11" i="1" s="1"/>
  <c r="J29" i="1"/>
  <c r="K5" i="1"/>
  <c r="F5" i="1" s="1"/>
  <c r="K7" i="1"/>
  <c r="F7" i="1" s="1"/>
  <c r="K6" i="1"/>
  <c r="F6" i="1" s="1"/>
  <c r="K8" i="1"/>
  <c r="F8" i="1" s="1"/>
  <c r="E8" i="1" l="1"/>
  <c r="J17" i="1"/>
  <c r="E13" i="1"/>
  <c r="K3" i="1"/>
  <c r="F3" i="1" s="1"/>
  <c r="E3" i="1" l="1"/>
  <c r="E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tc={87CDED5D-3910-4C02-936A-00FB1E5736E1}</author>
    <author>tc={E321AB1A-C8CC-4291-927E-B2557C4A3478}</author>
    <author>tc={D0932EE7-412F-419A-B1EC-CFAF65209132}</author>
    <author>tc={2E9B2A76-FA86-46DD-878C-9ABC9745598E}</author>
    <author>tc={B47F54DE-61C0-49B3-8533-2D6F669E03CE}</author>
    <author>tc={4AA2ADF2-BF7C-4B2B-B999-45482C1EB57B}</author>
    <author>tc={2910FF4D-E281-4269-A2DC-37B02F204478}</author>
    <author>tc={9E2D4835-E682-48A0-9E17-CF35C5171650}</author>
    <author>tc={7766ABA4-1D91-4E8C-9FB4-DC6705A8DC90}</author>
  </authors>
  <commentList>
    <comment ref="I15" authorId="0" shapeId="0" xr:uid="{87CDED5D-3910-4C02-936A-00FB1E5736E1}">
      <text>
        <t>[Threaded comment]
Your version of Excel allows you to read this threaded comment; however, any edits to it will get removed if the file is opened in a newer version of Excel. Learn more: https://go.microsoft.com/fwlink/?linkid=870924
Comment:
    Missing final content.</t>
      </text>
    </comment>
    <comment ref="I16" authorId="1" shapeId="0" xr:uid="{E321AB1A-C8CC-4291-927E-B2557C4A3478}">
      <text>
        <t>[Threaded comment]
Your version of Excel allows you to read this threaded comment; however, any edits to it will get removed if the file is opened in a newer version of Excel. Learn more: https://go.microsoft.com/fwlink/?linkid=870924
Comment:
    Missing final content.</t>
      </text>
    </comment>
    <comment ref="C17" authorId="2" shapeId="0" xr:uid="{D0932EE7-412F-419A-B1EC-CFAF65209132}">
      <text>
        <t>[Threaded comment]
Your version of Excel allows you to read this threaded comment; however, any edits to it will get removed if the file is opened in a newer version of Excel. Learn more: https://go.microsoft.com/fwlink/?linkid=870924
Comment:
    Missing section summary text.</t>
      </text>
    </comment>
    <comment ref="C21" authorId="3" shapeId="0" xr:uid="{2E9B2A76-FA86-46DD-878C-9ABC9745598E}">
      <text>
        <t>[Threaded comment]
Your version of Excel allows you to read this threaded comment; however, any edits to it will get removed if the file is opened in a newer version of Excel. Learn more: https://go.microsoft.com/fwlink/?linkid=870924
Comment:
    Missing section summary text.</t>
      </text>
    </comment>
    <comment ref="E37" authorId="4" shapeId="0" xr:uid="{B47F54DE-61C0-49B3-8533-2D6F669E03CE}">
      <text>
        <t>[Threaded comment]
Your version of Excel allows you to read this threaded comment; however, any edits to it will get removed if the file is opened in a newer version of Excel. Learn more: https://go.microsoft.com/fwlink/?linkid=870924
Comment:
    Missing summary text.</t>
      </text>
    </comment>
    <comment ref="A44" authorId="5" shapeId="0" xr:uid="{4AA2ADF2-BF7C-4B2B-B999-45482C1EB57B}">
      <text>
        <t>[Threaded comment]
Your version of Excel allows you to read this threaded comment; however, any edits to it will get removed if the file is opened in a newer version of Excel. Learn more: https://go.microsoft.com/fwlink/?linkid=870924
Comment:
    Missing summary text.</t>
      </text>
    </comment>
    <comment ref="I47" authorId="6" shapeId="0" xr:uid="{2910FF4D-E281-4269-A2DC-37B02F204478}">
      <text>
        <t>[Threaded comment]
Your version of Excel allows you to read this threaded comment; however, any edits to it will get removed if the file is opened in a newer version of Excel. Learn more: https://go.microsoft.com/fwlink/?linkid=870924
Comment:
    No background text?</t>
      </text>
    </comment>
    <comment ref="I51" authorId="7" shapeId="0" xr:uid="{9E2D4835-E682-48A0-9E17-CF35C5171650}">
      <text>
        <t>[Threaded comment]
Your version of Excel allows you to read this threaded comment; however, any edits to it will get removed if the file is opened in a newer version of Excel. Learn more: https://go.microsoft.com/fwlink/?linkid=870924
Comment:
    No supporting background?</t>
      </text>
    </comment>
    <comment ref="A59" authorId="8" shapeId="0" xr:uid="{7766ABA4-1D91-4E8C-9FB4-DC6705A8DC90}">
      <text>
        <t>[Threaded comment]
Your version of Excel allows you to read this threaded comment; however, any edits to it will get removed if the file is opened in a newer version of Excel. Learn more: https://go.microsoft.com/fwlink/?linkid=870924
Comment:
    Missing summary text.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tc={257370F0-7F17-470F-A1A6-943D2D886C27}</author>
  </authors>
  <commentList>
    <comment ref="B4" authorId="0" shapeId="0" xr:uid="{257370F0-7F17-470F-A1A6-943D2D886C27}">
      <text>
        <t>[Threaded comment]
Your version of Excel allows you to read this threaded comment; however, any edits to it will get removed if the file is opened in a newer version of Excel. Learn more: https://go.microsoft.com/fwlink/?linkid=870924
Comment:
    Why the out-of-order numbering in this section?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tc={AC0FAE8E-62DB-4FB8-BDCC-56AE54A95E82}</author>
  </authors>
  <commentList>
    <comment ref="E3" authorId="0" shapeId="0" xr:uid="{AC0FAE8E-62DB-4FB8-BDCC-56AE54A95E82}">
      <text>
        <t>[Threaded comment]
Your version of Excel allows you to read this threaded comment; however, any edits to it will get removed if the file is opened in a newer version of Excel. Learn more: https://go.microsoft.com/fwlink/?linkid=870924
Comment:
    Missing summary text.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tc={A06F47BD-EF5D-47FD-ACC3-77188EB66B49}</author>
    <author>tc={8CF8184E-6EB7-45FD-B30E-2D3511182326}</author>
  </authors>
  <commentList>
    <comment ref="E7" authorId="0" shapeId="0" xr:uid="{A06F47BD-EF5D-47FD-ACC3-77188EB66B49}">
      <text>
        <t>[Threaded comment]
Your version of Excel allows you to read this threaded comment; however, any edits to it will get removed if the file is opened in a newer version of Excel. Learn more: https://go.microsoft.com/fwlink/?linkid=870924
Comment:
    Is this FTE or FTE years? Question and options conflict.</t>
      </text>
    </comment>
    <comment ref="E10" authorId="1" shapeId="0" xr:uid="{8CF8184E-6EB7-45FD-B30E-2D3511182326}">
      <text>
        <t>[Threaded comment]
Your version of Excel allows you to read this threaded comment; however, any edits to it will get removed if the file is opened in a newer version of Excel. Learn more: https://go.microsoft.com/fwlink/?linkid=870924
Comment:
    Should Low be more than 3?</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tc={FAB73362-5417-466C-A811-5B4B3A048C0E}</author>
  </authors>
  <commentList>
    <comment ref="E9" authorId="0" shapeId="0" xr:uid="{FAB73362-5417-466C-A811-5B4B3A048C0E}">
      <text>
        <t>[Threaded comment]
Your version of Excel allows you to read this threaded comment; however, any edits to it will get removed if the file is opened in a newer version of Excel. Learn more: https://go.microsoft.com/fwlink/?linkid=870924
Comment:
    Missing section summary text.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tc={54FD65E6-5F1C-414E-A0D9-090BB5763130}</author>
  </authors>
  <commentList>
    <comment ref="E3" authorId="0" shapeId="0" xr:uid="{54FD65E6-5F1C-414E-A0D9-090BB5763130}">
      <text>
        <t>[Threaded comment]
Your version of Excel allows you to read this threaded comment; however, any edits to it will get removed if the file is opened in a newer version of Excel. Learn more: https://go.microsoft.com/fwlink/?linkid=870924
Comment:
    Missing section description.</t>
      </text>
    </comment>
  </commentList>
</comments>
</file>

<file path=xl/sharedStrings.xml><?xml version="1.0" encoding="utf-8"?>
<sst xmlns="http://schemas.openxmlformats.org/spreadsheetml/2006/main" count="549" uniqueCount="448">
  <si>
    <t>Be acceptable w.r.t safety</t>
  </si>
  <si>
    <t>Be reliable for grid operations</t>
  </si>
  <si>
    <t>Be beneficial to society</t>
  </si>
  <si>
    <t>Be acceptable for permitting and certification</t>
  </si>
  <si>
    <t>Have market competitive cost of energy</t>
  </si>
  <si>
    <t>Have as low an OPEX as possible</t>
  </si>
  <si>
    <t>Have high availability</t>
  </si>
  <si>
    <t>Be deployable globally</t>
  </si>
  <si>
    <t>Threshold</t>
  </si>
  <si>
    <t>Be able to survive extreme loads/responses (can be caused by extreme weather conditions or high power operational conditions)</t>
  </si>
  <si>
    <t>C1</t>
  </si>
  <si>
    <t>C1.1</t>
  </si>
  <si>
    <t>C1.2</t>
  </si>
  <si>
    <t>C1.3</t>
  </si>
  <si>
    <t>C1.3.1</t>
  </si>
  <si>
    <t>C1.3.2</t>
  </si>
  <si>
    <t>C1.4</t>
  </si>
  <si>
    <t>C1.4.1</t>
  </si>
  <si>
    <t>C2</t>
  </si>
  <si>
    <t>C2.1</t>
  </si>
  <si>
    <t>C3</t>
  </si>
  <si>
    <t>C4</t>
  </si>
  <si>
    <t>C4.1</t>
  </si>
  <si>
    <t>C4.2</t>
  </si>
  <si>
    <t>C5</t>
  </si>
  <si>
    <t>C5.1</t>
  </si>
  <si>
    <t>C5.2</t>
  </si>
  <si>
    <t>C6</t>
  </si>
  <si>
    <t>C7</t>
  </si>
  <si>
    <t>weight</t>
  </si>
  <si>
    <t>C1.1.1</t>
  </si>
  <si>
    <t>C1.1.2</t>
  </si>
  <si>
    <t>C1.1.3</t>
  </si>
  <si>
    <t>C1.1.4</t>
  </si>
  <si>
    <t>C1.2.1</t>
  </si>
  <si>
    <t>C1.2.2</t>
  </si>
  <si>
    <t>Provide a secure investment opportunity</t>
  </si>
  <si>
    <t>C2.1.1</t>
  </si>
  <si>
    <t>C2.1.2</t>
  </si>
  <si>
    <t>C2.1.3</t>
  </si>
  <si>
    <t>C2.1.4</t>
  </si>
  <si>
    <t>Note: C5 is scored as a geometric mean. Each input is equally important.</t>
  </si>
  <si>
    <t>Note: C4 is scored as a weighted average (arithmetic mean) of its inputs. Weights are shown.</t>
  </si>
  <si>
    <t>Note: C2 is scored as the geometric mean of its inputs. Each input is equally important.</t>
  </si>
  <si>
    <t>relative weight</t>
  </si>
  <si>
    <t>threshold</t>
  </si>
  <si>
    <t>Note: C1.3 is scored as the product of the inputs. Each input is equally important.</t>
  </si>
  <si>
    <t>Note: C1.4 is scored as the weighted average (arithmetic mean) of its inputs. Weights are shown.</t>
  </si>
  <si>
    <t>Technology Performance Level:</t>
  </si>
  <si>
    <t>contrib'</t>
  </si>
  <si>
    <t>Capability</t>
  </si>
  <si>
    <t>Input Score</t>
  </si>
  <si>
    <t>Group Score</t>
  </si>
  <si>
    <t>Notes:</t>
  </si>
  <si>
    <t>Summary:</t>
  </si>
  <si>
    <t>Note: C1 is scored as the geometric mean of: 1/total cost, generation, availability. With equal weighting to each. CAPEX:OPEX weighting within 'total cost' is 70:30.</t>
  </si>
  <si>
    <t>Note: C1.1 is scored as a weighted sum of the "value for money" scores. Weights are shown.</t>
  </si>
  <si>
    <t>Note: C1.2 is scored as a weighted sum of the "value for money" scores. Weights are shown.</t>
  </si>
  <si>
    <t>contrib.'</t>
  </si>
  <si>
    <t>Note: C3 is scored as a weighted average (arithmetic mean) of its inputs. Weights are shown.</t>
  </si>
  <si>
    <t>C3.1</t>
  </si>
  <si>
    <t>Note 2: The weights are subject to revision. This is not the final version.</t>
  </si>
  <si>
    <t>Note 1: Preliminary version - 30 June 2016.</t>
  </si>
  <si>
    <t>SAND2016-8624 O</t>
  </si>
  <si>
    <t>Note: C2.1 is calculated to reflect the impact of the inputs on cost of energy. CAPEX:OPEX weighting is 70:30</t>
  </si>
  <si>
    <t>Note: C2.2 is scored as the product of its inputs. Each input is equally important.</t>
  </si>
  <si>
    <t>Have robust fatigue characteristics</t>
  </si>
  <si>
    <t xml:space="preserve">What geophysical conditions are required to deploy this concept? </t>
  </si>
  <si>
    <t>Questions</t>
  </si>
  <si>
    <t>Score</t>
  </si>
  <si>
    <t>Score Guidance</t>
  </si>
  <si>
    <t>What is the sensitivity tidal range?</t>
  </si>
  <si>
    <t xml:space="preserve">What are the weather window requirements for installation?  </t>
  </si>
  <si>
    <t>TRL 1</t>
  </si>
  <si>
    <t>Functional Readiness</t>
  </si>
  <si>
    <r>
      <t>T</t>
    </r>
    <r>
      <rPr>
        <b/>
        <sz val="11"/>
        <color theme="1"/>
        <rFont val="Calibri"/>
        <family val="2"/>
        <scheme val="minor"/>
      </rPr>
      <t>echnology concept and/or application formulated.</t>
    </r>
    <r>
      <rPr>
        <sz val="11"/>
        <color theme="1"/>
        <rFont val="Calibri"/>
        <family val="2"/>
        <scheme val="minor"/>
      </rPr>
      <t xml:space="preserve">
</t>
    </r>
    <r>
      <rPr>
        <b/>
        <sz val="11"/>
        <color theme="1"/>
        <rFont val="Calibri"/>
        <family val="2"/>
        <scheme val="minor"/>
      </rPr>
      <t xml:space="preserve">System Definition: </t>
    </r>
    <r>
      <rPr>
        <sz val="11"/>
        <color theme="1"/>
        <rFont val="Calibri"/>
        <family val="2"/>
        <scheme val="minor"/>
      </rPr>
      <t xml:space="preserve">Principal dimensions and main components identified. Target water depth and wave resource requirements identified. Basic geotechnical requirements identified. Scope of system and external interfaces defined.
</t>
    </r>
    <r>
      <rPr>
        <b/>
        <sz val="11"/>
        <color theme="1"/>
        <rFont val="Calibri"/>
        <family val="2"/>
        <scheme val="minor"/>
      </rPr>
      <t>Performance/Costs:</t>
    </r>
    <r>
      <rPr>
        <sz val="11"/>
        <color theme="1"/>
        <rFont val="Calibri"/>
        <family val="2"/>
        <scheme val="minor"/>
      </rPr>
      <t xml:space="preserve"> Simple calculations and read across from existing data to estimate power production performance and size of major structural elements.
</t>
    </r>
    <r>
      <rPr>
        <b/>
        <sz val="11"/>
        <color theme="1"/>
        <rFont val="Calibri"/>
        <family val="2"/>
        <scheme val="minor"/>
      </rPr>
      <t xml:space="preserve">Mechanical Integrity: </t>
    </r>
    <r>
      <rPr>
        <sz val="11"/>
        <color theme="1"/>
        <rFont val="Calibri"/>
        <family val="2"/>
        <scheme val="minor"/>
      </rPr>
      <t xml:space="preserve">Configuration consistent with survivability for the target ocean environment.
</t>
    </r>
  </si>
  <si>
    <t xml:space="preserve">Concept configuration drawing 
Concept report defining system layout, function, site requirements and appreciation of lifecycle implications.
Performance and cost calculations/estimates indicating realistic targets.
Device configuration and sizing consistent with offshore experience
</t>
  </si>
  <si>
    <r>
      <rPr>
        <b/>
        <sz val="11"/>
        <color theme="1"/>
        <rFont val="Calibri"/>
        <family val="2"/>
        <scheme val="minor"/>
      </rPr>
      <t>Initial capital cost and power production estimates / targets established</t>
    </r>
    <r>
      <rPr>
        <sz val="11"/>
        <color theme="1"/>
        <rFont val="Calibri"/>
        <family val="2"/>
        <scheme val="minor"/>
      </rPr>
      <t xml:space="preserve">
</t>
    </r>
    <r>
      <rPr>
        <b/>
        <sz val="11"/>
        <color theme="1"/>
        <rFont val="Calibri"/>
        <family val="2"/>
        <scheme val="minor"/>
      </rPr>
      <t xml:space="preserve">Site Identification: </t>
    </r>
    <r>
      <rPr>
        <sz val="11"/>
        <color theme="1"/>
        <rFont val="Calibri"/>
        <family val="2"/>
        <scheme val="minor"/>
      </rPr>
      <t xml:space="preserve">Wave Resource measured /analyzed for target market sites. Indicative resource scatter plots obtained and justified. Consistent water depth and seabed geology should be considered.
</t>
    </r>
    <r>
      <rPr>
        <b/>
        <sz val="11"/>
        <color theme="1"/>
        <rFont val="Calibri"/>
        <family val="2"/>
        <scheme val="minor"/>
      </rPr>
      <t xml:space="preserve">Cost Estimates / Targets: </t>
    </r>
    <r>
      <rPr>
        <sz val="11"/>
        <color theme="1"/>
        <rFont val="Calibri"/>
        <family val="2"/>
        <scheme val="minor"/>
      </rPr>
      <t xml:space="preserve">Based on critical dimensions and tonnage, an initial cost breakdown / commercial cost targets with documented justification for capital expenditure.
</t>
    </r>
    <r>
      <rPr>
        <b/>
        <sz val="11"/>
        <color theme="1"/>
        <rFont val="Calibri"/>
        <family val="2"/>
        <scheme val="minor"/>
      </rPr>
      <t>Energy Production Estimates / Targets:</t>
    </r>
    <r>
      <rPr>
        <sz val="11"/>
        <color theme="1"/>
        <rFont val="Calibri"/>
        <family val="2"/>
        <scheme val="minor"/>
      </rPr>
      <t xml:space="preserve"> Use of power matrix to predict energy production. Allowances/targets for converting absorbed
</t>
    </r>
  </si>
  <si>
    <t>Power Matrix based on measured absorbed power for representative control forces at 1:25 to 1:100 scale or
greater.
Numerical simulation model for rigid body oscillator with simple representative control methods.
Verification report comparing measured characteristics and numerical predictions. Physical and numerical
modelling assumptions are presented. Comments on validity of energy production modelling methods are given.
Report(s) showing cost targets for commercial capital expenditure, justified by realistic structural weight and
material costs.</t>
  </si>
  <si>
    <t>TRL 4</t>
  </si>
  <si>
    <t>TRL 2</t>
  </si>
  <si>
    <t>TRL 3</t>
  </si>
  <si>
    <t xml:space="preserve">Simulation predictions of device motion shown to match measured response of structure in basin / sea.
PTO conversion simulation and large scale experimental testing indicating that the required conversion efficiency
can be achieved for power flows associated with irregular waves.
Updated power matrix based on validated simulation &amp; PTO conversion efficiencies.
Scaled storm survival and acceptable mooring loads. Measurements consistent with simulation predictions.
SCADA for remote control of an offshore system developed.
Health &amp; Safety HAZID / HAZOP reports and effected design changes. Event log procedure in place.
Marine surveyors consulted for large scale experimental work. Appropriate insurance obtained for activity.
Warranty surveyor assessment of proposed deployment and intervention marine operations.
Commercial system definition updated with supplier derived data. 
TRL 6 hardware system definition, experimental plan, fabricators and marine operations suppliers in place.
Commercial business model updated with converted energy production and supplier derived cost estimates.
</t>
  </si>
  <si>
    <t>TRL:</t>
  </si>
  <si>
    <t>Weight</t>
  </si>
  <si>
    <t>Net</t>
  </si>
  <si>
    <t>Are any of the major structural or shell components complex to form?</t>
  </si>
  <si>
    <t xml:space="preserve">What is the cost of the system that converts mechanical power to usable power? </t>
  </si>
  <si>
    <t>What is the cost of power conditioning equipment such as inverters and transformers or pumps and accumulators?</t>
  </si>
  <si>
    <t>For the WEC</t>
  </si>
  <si>
    <t>C.5.2 Area Use Conflicts</t>
  </si>
  <si>
    <t>C.1.3 Performance</t>
  </si>
  <si>
    <t>C.1.4 Availability</t>
  </si>
  <si>
    <t>C.3.1 Forecastable</t>
  </si>
  <si>
    <t>Safety</t>
  </si>
  <si>
    <t xml:space="preserve">Is any lifting by crane done at sea? </t>
  </si>
  <si>
    <t>Design</t>
  </si>
  <si>
    <t>Manufacturability</t>
  </si>
  <si>
    <t>Transportability</t>
  </si>
  <si>
    <t>Installability</t>
  </si>
  <si>
    <t>CAPEX</t>
  </si>
  <si>
    <t>OPEX</t>
  </si>
  <si>
    <t>Performance</t>
  </si>
  <si>
    <t>Maintainability</t>
  </si>
  <si>
    <t>Energy Capture</t>
  </si>
  <si>
    <t>Energy Conversion</t>
  </si>
  <si>
    <t>Availability</t>
  </si>
  <si>
    <t>Cost of Energy</t>
  </si>
  <si>
    <t>CapEx Uncertainty</t>
  </si>
  <si>
    <t>OpEx Uncertainty</t>
  </si>
  <si>
    <t>Investment Opportunity</t>
  </si>
  <si>
    <t>Performance Uncertainty</t>
  </si>
  <si>
    <t>Availability Uncertainty</t>
  </si>
  <si>
    <t>Society Benefit</t>
  </si>
  <si>
    <t>Permitting and Certification</t>
  </si>
  <si>
    <t>Grid Operation</t>
  </si>
  <si>
    <t>Forecastable</t>
  </si>
  <si>
    <t>Impact on Local Communities</t>
  </si>
  <si>
    <t>Environmental Impacts</t>
  </si>
  <si>
    <t>Ecological Impacts</t>
  </si>
  <si>
    <t>Area Use Conflicts</t>
  </si>
  <si>
    <t>C6.1</t>
  </si>
  <si>
    <t>C6.2</t>
  </si>
  <si>
    <t>C6.2.1</t>
  </si>
  <si>
    <t>C6.2.2</t>
  </si>
  <si>
    <t>C6.2.3</t>
  </si>
  <si>
    <t>C6.2.4</t>
  </si>
  <si>
    <t>C6.2.5</t>
  </si>
  <si>
    <t>C5.3</t>
  </si>
  <si>
    <t>ESBI Verification Checklist</t>
  </si>
  <si>
    <r>
      <rPr>
        <b/>
        <sz val="11"/>
        <color theme="1"/>
        <rFont val="Calibri"/>
        <family val="2"/>
        <scheme val="minor"/>
      </rPr>
      <t>Purpose(s) of technology identified</t>
    </r>
    <r>
      <rPr>
        <sz val="11"/>
        <color theme="1"/>
        <rFont val="Calibri"/>
        <family val="2"/>
        <scheme val="minor"/>
      </rPr>
      <t xml:space="preserve">
</t>
    </r>
    <r>
      <rPr>
        <b/>
        <sz val="11"/>
        <color theme="1"/>
        <rFont val="Calibri"/>
        <family val="2"/>
        <scheme val="minor"/>
      </rPr>
      <t xml:space="preserve">Market: </t>
    </r>
    <r>
      <rPr>
        <sz val="11"/>
        <color theme="1"/>
        <rFont val="Calibri"/>
        <family val="2"/>
        <scheme val="minor"/>
      </rPr>
      <t xml:space="preserve">Electricity generation, water desalination, pumping, etc.
</t>
    </r>
  </si>
  <si>
    <r>
      <rPr>
        <b/>
        <sz val="11"/>
        <color theme="1"/>
        <rFont val="Calibri"/>
        <family val="2"/>
        <scheme val="minor"/>
      </rPr>
      <t>Market Identified</t>
    </r>
    <r>
      <rPr>
        <sz val="11"/>
        <color theme="1"/>
        <rFont val="Calibri"/>
        <family val="2"/>
        <scheme val="minor"/>
      </rPr>
      <t xml:space="preserve">
</t>
    </r>
    <r>
      <rPr>
        <b/>
        <sz val="11"/>
        <color theme="1"/>
        <rFont val="Calibri"/>
        <family val="2"/>
        <scheme val="minor"/>
      </rPr>
      <t xml:space="preserve">Site Identification: </t>
    </r>
    <r>
      <rPr>
        <sz val="11"/>
        <color theme="1"/>
        <rFont val="Calibri"/>
        <family val="2"/>
        <scheme val="minor"/>
      </rPr>
      <t xml:space="preserve">Suitable sites identified for large scale mobilization of technology.
</t>
    </r>
    <r>
      <rPr>
        <b/>
        <sz val="11"/>
        <color theme="1"/>
        <rFont val="Calibri"/>
        <family val="2"/>
        <scheme val="minor"/>
      </rPr>
      <t xml:space="preserve">Lifecycle considerations: </t>
    </r>
    <r>
      <rPr>
        <sz val="11"/>
        <color theme="1"/>
        <rFont val="Calibri"/>
        <family val="2"/>
        <scheme val="minor"/>
      </rPr>
      <t xml:space="preserve">The concept configuration should include consideration of manufacturability, deploy ability, access for maintenance, operability and decommissioning. Health and safety hazards should be identified and designed out where possible.
</t>
    </r>
    <r>
      <rPr>
        <b/>
        <sz val="11"/>
        <color theme="1"/>
        <rFont val="Calibri"/>
        <family val="2"/>
        <scheme val="minor"/>
      </rPr>
      <t>Customer Interface:</t>
    </r>
    <r>
      <rPr>
        <sz val="11"/>
        <color theme="1"/>
        <rFont val="Calibri"/>
        <family val="2"/>
        <scheme val="minor"/>
      </rPr>
      <t xml:space="preserve"> Point of sale of product and interface with customer is defined. (e.g. national grid connection point, etc.)
</t>
    </r>
  </si>
  <si>
    <r>
      <rPr>
        <b/>
        <sz val="11"/>
        <color theme="1"/>
        <rFont val="Calibri"/>
        <family val="2"/>
        <scheme val="minor"/>
      </rPr>
      <t>Analytical and experimental critical function and/or characteristic proof-of-concept.</t>
    </r>
    <r>
      <rPr>
        <sz val="11"/>
        <color theme="1"/>
        <rFont val="Calibri"/>
        <family val="2"/>
        <scheme val="minor"/>
      </rPr>
      <t xml:space="preserve">
</t>
    </r>
    <r>
      <rPr>
        <b/>
        <sz val="11"/>
        <color theme="1"/>
        <rFont val="Calibri"/>
        <family val="2"/>
        <scheme val="minor"/>
      </rPr>
      <t xml:space="preserve">HMRC Development and Evaluation Protocol PHASE 1 </t>
    </r>
    <r>
      <rPr>
        <sz val="11"/>
        <color theme="1"/>
        <rFont val="Calibri"/>
        <family val="2"/>
        <scheme val="minor"/>
      </rPr>
      <t xml:space="preserve">
</t>
    </r>
    <r>
      <rPr>
        <b/>
        <sz val="11"/>
        <color theme="1"/>
        <rFont val="Calibri"/>
        <family val="2"/>
        <scheme val="minor"/>
      </rPr>
      <t xml:space="preserve">Performance: </t>
    </r>
    <r>
      <rPr>
        <sz val="11"/>
        <color theme="1"/>
        <rFont val="Calibri"/>
        <family val="2"/>
        <scheme val="minor"/>
      </rPr>
      <t xml:space="preserve">Experimental Ocean Basin Laboratory testing at 1:25 – 1:100. Absorbed power measured in monochromatic
and synthesized irregular sea states (as per HMRC D&amp;E.P).
</t>
    </r>
    <r>
      <rPr>
        <b/>
        <sz val="11"/>
        <color theme="1"/>
        <rFont val="Calibri"/>
        <family val="2"/>
        <scheme val="minor"/>
      </rPr>
      <t xml:space="preserve">Performance: </t>
    </r>
    <r>
      <rPr>
        <sz val="11"/>
        <color theme="1"/>
        <rFont val="Calibri"/>
        <family val="2"/>
        <scheme val="minor"/>
      </rPr>
      <t xml:space="preserve">Numerical simulation model in time domain – inviscid hydrodynamics, rigid body motions and idealized control forces to predict power absorbed by device.
</t>
    </r>
    <r>
      <rPr>
        <b/>
        <sz val="11"/>
        <color theme="1"/>
        <rFont val="Calibri"/>
        <family val="2"/>
        <scheme val="minor"/>
      </rPr>
      <t xml:space="preserve">Survival: </t>
    </r>
    <r>
      <rPr>
        <sz val="11"/>
        <color theme="1"/>
        <rFont val="Calibri"/>
        <family val="2"/>
        <scheme val="minor"/>
      </rPr>
      <t xml:space="preserve">Moorings Analytical Simulation Model: Representative survival events to predict design wave response and define initial mooring sizing and induced loads.
</t>
    </r>
    <r>
      <rPr>
        <b/>
        <sz val="11"/>
        <color theme="1"/>
        <rFont val="Calibri"/>
        <family val="2"/>
        <scheme val="minor"/>
      </rPr>
      <t xml:space="preserve">Survival: </t>
    </r>
    <r>
      <rPr>
        <sz val="11"/>
        <color theme="1"/>
        <rFont val="Calibri"/>
        <family val="2"/>
        <scheme val="minor"/>
      </rPr>
      <t xml:space="preserve">Experimental Ocean Basin Laboratory Testing at 1:100 scale or greater with qualitative assessment of survival aspects: acceptable mooring loads, sea-keeping, green water, slamming, etc.
</t>
    </r>
    <r>
      <rPr>
        <b/>
        <sz val="11"/>
        <color theme="1"/>
        <rFont val="Calibri"/>
        <family val="2"/>
        <scheme val="minor"/>
      </rPr>
      <t xml:space="preserve">System Definition: </t>
    </r>
    <r>
      <rPr>
        <sz val="11"/>
        <color theme="1"/>
        <rFont val="Calibri"/>
        <family val="2"/>
        <scheme val="minor"/>
      </rPr>
      <t xml:space="preserve">Principal dimensions and inertial information, ensuring static stability, acceptable dynamic behavior, etc. PTO degree of freedom defined (e.g. as linear PTO including stroke and peak force requirements, air turbine including peak volume flows and damping coefficients)
</t>
    </r>
  </si>
  <si>
    <r>
      <t>T</t>
    </r>
    <r>
      <rPr>
        <b/>
        <sz val="11"/>
        <color theme="1"/>
        <rFont val="Calibri"/>
        <family val="2"/>
        <scheme val="minor"/>
      </rPr>
      <t>echnology component and/or basic technology subsystem validation in a laboratory environment.</t>
    </r>
    <r>
      <rPr>
        <sz val="11"/>
        <color theme="1"/>
        <rFont val="Calibri"/>
        <family val="2"/>
        <scheme val="minor"/>
      </rPr>
      <t xml:space="preserve">
</t>
    </r>
    <r>
      <rPr>
        <b/>
        <sz val="11"/>
        <color theme="1"/>
        <rFont val="Calibri"/>
        <family val="2"/>
        <scheme val="minor"/>
      </rPr>
      <t xml:space="preserve">HMRC Development and Evaluation Protocol PHASE 2
</t>
    </r>
    <r>
      <rPr>
        <sz val="11"/>
        <color theme="1"/>
        <rFont val="Calibri"/>
        <family val="2"/>
        <scheme val="minor"/>
      </rPr>
      <t xml:space="preserve">
</t>
    </r>
    <r>
      <rPr>
        <b/>
        <sz val="11"/>
        <color theme="1"/>
        <rFont val="Calibri"/>
        <family val="2"/>
        <scheme val="minor"/>
      </rPr>
      <t xml:space="preserve">Control and Performance: </t>
    </r>
    <r>
      <rPr>
        <sz val="11"/>
        <color theme="1"/>
        <rFont val="Calibri"/>
        <family val="2"/>
        <scheme val="minor"/>
      </rPr>
      <t xml:space="preserve">1:25 scale or greater experimental ocean basin activity including control forces
representative of actual PTO capability. Absorbed power measured for representative control force behavior.
</t>
    </r>
    <r>
      <rPr>
        <b/>
        <sz val="11"/>
        <color theme="1"/>
        <rFont val="Calibri"/>
        <family val="2"/>
        <scheme val="minor"/>
      </rPr>
      <t xml:space="preserve">Survivability: </t>
    </r>
    <r>
      <rPr>
        <sz val="11"/>
        <color theme="1"/>
        <rFont val="Calibri"/>
        <family val="2"/>
        <scheme val="minor"/>
      </rPr>
      <t xml:space="preserve">End-stop control (if relevant): Survival condition defined and tested at 1:25 scale or greater. (e.g. ballasting, detuning oscillator, “locked” PTO loads, etc.)
</t>
    </r>
    <r>
      <rPr>
        <b/>
        <sz val="11"/>
        <color theme="1"/>
        <rFont val="Calibri"/>
        <family val="2"/>
        <scheme val="minor"/>
      </rPr>
      <t xml:space="preserve">Survivability: Moorings. </t>
    </r>
    <r>
      <rPr>
        <sz val="11"/>
        <color theme="1"/>
        <rFont val="Calibri"/>
        <family val="2"/>
        <scheme val="minor"/>
      </rPr>
      <t xml:space="preserve">As representative a mooring system as possible should be used during 1:25 (or greater)
scale physical modelling. Simulation verification and where tank capability permits this should be verified experimentally in representative storm waves.
</t>
    </r>
    <r>
      <rPr>
        <b/>
        <sz val="11"/>
        <color theme="1"/>
        <rFont val="Calibri"/>
        <family val="2"/>
        <scheme val="minor"/>
      </rPr>
      <t xml:space="preserve">Naval Architecture: </t>
    </r>
    <r>
      <rPr>
        <sz val="11"/>
        <color theme="1"/>
        <rFont val="Calibri"/>
        <family val="2"/>
        <scheme val="minor"/>
      </rPr>
      <t xml:space="preserve">Basic assessment showing that marine standards can be met and manufacturability achievable.
</t>
    </r>
    <r>
      <rPr>
        <b/>
        <sz val="11"/>
        <color theme="1"/>
        <rFont val="Calibri"/>
        <family val="2"/>
        <scheme val="minor"/>
      </rPr>
      <t xml:space="preserve">PTO / Operational end-stop control: </t>
    </r>
    <r>
      <rPr>
        <sz val="11"/>
        <color theme="1"/>
        <rFont val="Calibri"/>
        <family val="2"/>
        <scheme val="minor"/>
      </rPr>
      <t xml:space="preserve">Full scale PTO defined. Scaled laboratory bench-testing of simplified but representative PTO in conjunction with use of simulation to extrapolate to full scale behavior – control force capability and mechanical conversion efficiency analyzed by a combination of scaled experiment and simulation.
</t>
    </r>
    <r>
      <rPr>
        <b/>
        <sz val="11"/>
        <color theme="1"/>
        <rFont val="Calibri"/>
        <family val="2"/>
        <scheme val="minor"/>
      </rPr>
      <t xml:space="preserve">Electrical Powertrain / Power Export: </t>
    </r>
    <r>
      <rPr>
        <sz val="11"/>
        <color theme="1"/>
        <rFont val="Calibri"/>
        <family val="2"/>
        <scheme val="minor"/>
      </rPr>
      <t xml:space="preserve">The means of converting mechanical power for export and the transmission
of this power to market should be defined. Calculations / basic simulations of export efficiencies complete.
</t>
    </r>
    <r>
      <rPr>
        <b/>
        <sz val="11"/>
        <color theme="1"/>
        <rFont val="Calibri"/>
        <family val="2"/>
        <scheme val="minor"/>
      </rPr>
      <t xml:space="preserve">System Definition (commercial): </t>
    </r>
    <r>
      <rPr>
        <sz val="11"/>
        <color theme="1"/>
        <rFont val="Calibri"/>
        <family val="2"/>
        <scheme val="minor"/>
      </rPr>
      <t xml:space="preserve">System breakdown and high level definition of subsystems: e.g. Collector Subsystem, Mechanical PTO System, Electrical Conversion System, Power Export System, Position Mooring System requirements established. Major internal interfaces identified between subsystems as well as clarity of system level external interface (e.g. grid code compliance requirements, marine navigation).
</t>
    </r>
  </si>
  <si>
    <r>
      <rPr>
        <b/>
        <sz val="11"/>
        <color theme="1"/>
        <rFont val="Calibri"/>
        <family val="2"/>
        <scheme val="minor"/>
      </rPr>
      <t>Preliminary Lifecycle design</t>
    </r>
    <r>
      <rPr>
        <sz val="11"/>
        <color theme="1"/>
        <rFont val="Calibri"/>
        <family val="2"/>
        <scheme val="minor"/>
      </rPr>
      <t xml:space="preserve">
</t>
    </r>
    <r>
      <rPr>
        <b/>
        <sz val="11"/>
        <color theme="1"/>
        <rFont val="Calibri"/>
        <family val="2"/>
        <scheme val="minor"/>
      </rPr>
      <t xml:space="preserve">Health &amp; Safety: </t>
    </r>
    <r>
      <rPr>
        <sz val="11"/>
        <color theme="1"/>
        <rFont val="Calibri"/>
        <family val="2"/>
        <scheme val="minor"/>
      </rPr>
      <t xml:space="preserve">Risk assessment (HAZID) projected for all phases of technology in-service lifecycle. Design change process implemented to minimize or eliminate risk wherever possible. (e.g. eliminate offshore intervention, offshore crew transfers, diver operations, working at height, etc.)
</t>
    </r>
    <r>
      <rPr>
        <b/>
        <sz val="11"/>
        <color theme="1"/>
        <rFont val="Calibri"/>
        <family val="2"/>
        <scheme val="minor"/>
      </rPr>
      <t>Manufacturability:</t>
    </r>
    <r>
      <rPr>
        <sz val="11"/>
        <color theme="1"/>
        <rFont val="Calibri"/>
        <family val="2"/>
        <scheme val="minor"/>
      </rPr>
      <t xml:space="preserve"> Naval architecture /Shipyard input: Storyboard for manufacture and
assembly of full-scale system, based on one or more existing manufacturing facilities. Design change process implemented to enable manufacturability (e.g. reduce crane requirements, facilitate welding operations, avoid complex steel forming, etc.)
</t>
    </r>
    <r>
      <rPr>
        <b/>
        <sz val="11"/>
        <color theme="1"/>
        <rFont val="Calibri"/>
        <family val="2"/>
        <scheme val="minor"/>
      </rPr>
      <t xml:space="preserve">Deploy ability: </t>
    </r>
    <r>
      <rPr>
        <sz val="11"/>
        <color theme="1"/>
        <rFont val="Calibri"/>
        <family val="2"/>
        <scheme val="minor"/>
      </rPr>
      <t xml:space="preserve">Storyboard of operations required to install and commission full scale technology at target site based on available  vessels and facilities.
</t>
    </r>
    <r>
      <rPr>
        <b/>
        <sz val="11"/>
        <color theme="1"/>
        <rFont val="Calibri"/>
        <family val="2"/>
        <scheme val="minor"/>
      </rPr>
      <t>Operability:</t>
    </r>
    <r>
      <rPr>
        <sz val="11"/>
        <color theme="1"/>
        <rFont val="Calibri"/>
        <family val="2"/>
        <scheme val="minor"/>
      </rPr>
      <t xml:space="preserve"> Requirements for telemetry and SCADA system for remote supervisory control of system. Instrumentation requirements identified.
</t>
    </r>
    <r>
      <rPr>
        <b/>
        <sz val="11"/>
        <color theme="1"/>
        <rFont val="Calibri"/>
        <family val="2"/>
        <scheme val="minor"/>
      </rPr>
      <t>Maintainability:</t>
    </r>
    <r>
      <rPr>
        <sz val="11"/>
        <color theme="1"/>
        <rFont val="Calibri"/>
        <family val="2"/>
        <scheme val="minor"/>
      </rPr>
      <t xml:space="preserve"> Components categorized by life / level of maintenance required. Decisions on maintenance strategy: intervals and decision to maintain on-site or disconnect and tow to shore.
</t>
    </r>
    <r>
      <rPr>
        <b/>
        <sz val="11"/>
        <color theme="1"/>
        <rFont val="Calibri"/>
        <family val="2"/>
        <scheme val="minor"/>
      </rPr>
      <t xml:space="preserve">Reliability: </t>
    </r>
    <r>
      <rPr>
        <sz val="11"/>
        <color theme="1"/>
        <rFont val="Calibri"/>
        <family val="2"/>
        <scheme val="minor"/>
      </rPr>
      <t xml:space="preserve">Qualitative FMEA at system level. Design change for reliability wherever potential problems emerge.
</t>
    </r>
    <r>
      <rPr>
        <b/>
        <sz val="11"/>
        <color theme="1"/>
        <rFont val="Calibri"/>
        <family val="2"/>
        <scheme val="minor"/>
      </rPr>
      <t xml:space="preserve">Array Layout: </t>
    </r>
    <r>
      <rPr>
        <sz val="11"/>
        <color theme="1"/>
        <rFont val="Calibri"/>
        <family val="2"/>
        <scheme val="minor"/>
      </rPr>
      <t xml:space="preserve">Array spatial assessment for target site integrating multiple systems, allowing for mooring system footprint, power export system and estimate of resource affected area.
</t>
    </r>
    <r>
      <rPr>
        <b/>
        <sz val="11"/>
        <color theme="1"/>
        <rFont val="Calibri"/>
        <family val="2"/>
        <scheme val="minor"/>
      </rPr>
      <t xml:space="preserve">Economic Viability: </t>
    </r>
    <r>
      <rPr>
        <sz val="11"/>
        <color theme="1"/>
        <rFont val="Calibri"/>
        <family val="2"/>
        <scheme val="minor"/>
      </rPr>
      <t xml:space="preserve">Business model developed for small array using updated CAPEX and OPEX targets and justification. Energy production estimated using updated knowledge including conversion and export efficiencies.
</t>
    </r>
  </si>
  <si>
    <t xml:space="preserve">Power Matrix based on measured absorbed power for representative control forces at 1:25 scale or greater.
Control strategy shown to protect operational system from end stop events, in irregular waves.
Survival mode measured mooring /foundation / interface loads matching survival simulation predictions.
Scaled and simplified experimental PTO results validating simulation of the same system. (hydraulic, turbine, etc.)
Use of validated PTO simulation to extrapolate conversion efficiencies to full scale system in irregular waves.
For baseline converter system, all subsystem requirements defined and interfaces identified.
Schematic of power export system up to point of system external interface based on a small array of devices.
SCADA, control and instrumentation requirements defined.
Health &amp; Safety Risk assessment
High level Maintenance plan
System Level FMEA, inspection and redundancy strategy.
Array schematic for sample commercial site &amp; consistent moorings.
Business model for commercial array project based on latest CAPEX, OPEX and Power production estimates.
</t>
  </si>
  <si>
    <r>
      <rPr>
        <b/>
        <sz val="11"/>
        <color theme="1"/>
        <rFont val="Calibri"/>
        <family val="2"/>
        <scheme val="minor"/>
      </rPr>
      <t>Technology component and/or basic technology subsystem validation in a relevant environment.
HMRC Development and Evaluation PHASE 3 (Lab Tests / fetch-limited site)</t>
    </r>
    <r>
      <rPr>
        <sz val="11"/>
        <color theme="1"/>
        <rFont val="Calibri"/>
        <family val="2"/>
        <scheme val="minor"/>
      </rPr>
      <t xml:space="preserve">
</t>
    </r>
    <r>
      <rPr>
        <b/>
        <sz val="11"/>
        <color theme="1"/>
        <rFont val="Calibri"/>
        <family val="2"/>
        <scheme val="minor"/>
      </rPr>
      <t>Absorber:</t>
    </r>
    <r>
      <rPr>
        <sz val="11"/>
        <color theme="1"/>
        <rFont val="Calibri"/>
        <family val="2"/>
        <scheme val="minor"/>
      </rPr>
      <t xml:space="preserve"> Performance: Experimental verification of 1:4-1:15 scale (or larger) moored structure in large basin facility or benign site. Measurement of dynamic response to operational sea-state excitation. Conservative control methods may be employed at this stage. Measured response behavior compared to expectations from numerical simulation for validation. Validated simulation used to extrapolate performance to full scale with fully operational control. Survivability: Experimental 1:4-1:15 scale (or larger) moored structure exposed to scaled storm events in the sea. Mooring forces measured and compared to numerical model predictions.
</t>
    </r>
    <r>
      <rPr>
        <b/>
        <sz val="11"/>
        <color theme="1"/>
        <rFont val="Calibri"/>
        <family val="2"/>
        <scheme val="minor"/>
      </rPr>
      <t xml:space="preserve">PTO / End-stop control: </t>
    </r>
    <r>
      <rPr>
        <sz val="11"/>
        <color theme="1"/>
        <rFont val="Calibri"/>
        <family val="2"/>
        <scheme val="minor"/>
      </rPr>
      <t xml:space="preserve">Experimental verification of PTO system at 1:4 (or larger) Froude scale power levels in laboratory environment (or within scaled sea-trial oscillator).
</t>
    </r>
    <r>
      <rPr>
        <b/>
        <sz val="11"/>
        <color theme="1"/>
        <rFont val="Calibri"/>
        <family val="2"/>
        <scheme val="minor"/>
      </rPr>
      <t xml:space="preserve">Power Export: </t>
    </r>
    <r>
      <rPr>
        <sz val="11"/>
        <color theme="1"/>
        <rFont val="Calibri"/>
        <family val="2"/>
        <scheme val="minor"/>
      </rPr>
      <t xml:space="preserve">Experimental verification at 1:4 scale or larger of any unconventional components. (e.g. mechanical integrity of electrical risers in large waves/shallow water, marinized electrical substations, 11kV wet mate connectors)
</t>
    </r>
    <r>
      <rPr>
        <b/>
        <sz val="11"/>
        <color theme="1"/>
        <rFont val="Calibri"/>
        <family val="2"/>
        <scheme val="minor"/>
      </rPr>
      <t xml:space="preserve">Naval Architecture: </t>
    </r>
    <r>
      <rPr>
        <sz val="11"/>
        <color theme="1"/>
        <rFont val="Calibri"/>
        <family val="2"/>
        <scheme val="minor"/>
      </rPr>
      <t xml:space="preserve">Static and Dynamic stability and other naval architecture concerns are addressed. Early structural
layouts for commercial scale complete. Detail designs for TRL 6 scale structure.
</t>
    </r>
    <r>
      <rPr>
        <b/>
        <sz val="11"/>
        <color theme="1"/>
        <rFont val="Calibri"/>
        <family val="2"/>
        <scheme val="minor"/>
      </rPr>
      <t xml:space="preserve">Operability / SCADA: </t>
    </r>
    <r>
      <rPr>
        <sz val="11"/>
        <color theme="1"/>
        <rFont val="Calibri"/>
        <family val="2"/>
        <scheme val="minor"/>
      </rPr>
      <t xml:space="preserve">SCADA and telemetry developed to support large scale experiments control and data acquisition.
</t>
    </r>
    <r>
      <rPr>
        <b/>
        <sz val="11"/>
        <color theme="1"/>
        <rFont val="Calibri"/>
        <family val="2"/>
        <scheme val="minor"/>
      </rPr>
      <t>System Definition (commercial):</t>
    </r>
    <r>
      <rPr>
        <sz val="11"/>
        <color theme="1"/>
        <rFont val="Calibri"/>
        <family val="2"/>
        <scheme val="minor"/>
      </rPr>
      <t xml:space="preserve"> System and interface definition for commercial scale system is further detailed and updated with supplier feedback and test information.
</t>
    </r>
    <r>
      <rPr>
        <b/>
        <sz val="11"/>
        <color theme="1"/>
        <rFont val="Calibri"/>
        <family val="2"/>
        <scheme val="minor"/>
      </rPr>
      <t xml:space="preserve">System Definition (next phase): </t>
    </r>
    <r>
      <rPr>
        <sz val="11"/>
        <color theme="1"/>
        <rFont val="Calibri"/>
        <family val="2"/>
        <scheme val="minor"/>
      </rPr>
      <t xml:space="preserve">Full detail design definition for 1:4 (or larger) scale system and subsystems suitable for procurement exercise for TRL 6 testing. Experimental schedule for TRL 6 testing drafted.
</t>
    </r>
  </si>
  <si>
    <t xml:space="preserve">Supply-chain Mobilization Major Subsystem Integrators consulted and actively working on meeting subsystem requirements
Health &amp; Safety: Risk Assessments (HAZOP /HAZID) complete for all phases of scaled sea / lake / basin trial activity. Design/Process changes implemented to eliminate identified risks. Event Log in place to catch arising risks and hazardous events. Impacts on commercial product considered.
Health &amp; Safety / Insurability: In respect of sea / lake trials, inspections and reports by a marine surveyor / classification society   should be used to obtain all insurance deemed necessary.
Interface Management: Supply chain feedback and interaction used to define important interfaces and to iterate the system level definition.
Maintainability / Deploy ability (commercial): Intervention and deployment operations described. Warranty Surveyors assessment of planned marine operations is available.
Manufacturability (commercial): Consultation with potential suppliers on fabrication and assembly at commercial scale. Design update as required.
Manufacturability (next phase): Structural design, fabrication, assembly and fit-out of TRL 6 structure at advanced stage of planning with suppliers consulted.
Deploy ability (next phase): TRL 6 Installation &amp; Removal Operations of foundation, mooring systems and device from quayside to experimental site are defined.
Economic Viability: Updated business model using supplier derived cost estimates and where possible, quotations.
</t>
  </si>
  <si>
    <t>Background</t>
  </si>
  <si>
    <t>Is the energy absorption by the wave power collecting systems sensitive to tidal height, tidal current, or wind?</t>
  </si>
  <si>
    <t xml:space="preserve">What is the expected lifetime of the WEC device? </t>
  </si>
  <si>
    <t>The WEC design must minimize risk of human injury and death.</t>
  </si>
  <si>
    <t xml:space="preserve">What is the design probability of WEC loss? </t>
  </si>
  <si>
    <r>
      <t>Does loss of grid result in a safe state for the WEC device</t>
    </r>
    <r>
      <rPr>
        <sz val="12"/>
        <rFont val="Times New Roman"/>
        <family val="1"/>
      </rPr>
      <t xml:space="preserve">? Can it continue to protect itself and be in a state that is safe for extreme conditions? </t>
    </r>
  </si>
  <si>
    <t xml:space="preserve">Can the WEC be easily detected by other users of the area?  </t>
  </si>
  <si>
    <t xml:space="preserve">In the event of a collision, is the WEC able to mitigate damage? </t>
  </si>
  <si>
    <t>For all expected orientations and configurations other than during operation and survival, is the WEC as safe and survivable?</t>
  </si>
  <si>
    <t>At the location(s) where the WECs are manufactured, how many jobs will the manufacturing facilities directly contribute to the local community?</t>
  </si>
  <si>
    <t>check cost range</t>
  </si>
  <si>
    <t>get more information on working limits sea states. Integral consulting</t>
  </si>
  <si>
    <t xml:space="preserve">should we consider design inherent load limits </t>
  </si>
  <si>
    <t xml:space="preserve">clarify what is included. I think that guidance should be changed to $150/MW high. That is $0.15/W for inverter and transformer. </t>
  </si>
  <si>
    <t xml:space="preserve">clarify what is included. Inverter and transformer not included. </t>
  </si>
  <si>
    <t xml:space="preserve">we asked for this calculation and they did not provide it. </t>
  </si>
  <si>
    <t xml:space="preserve">Does control system include mooring for systems that are controlled depth. </t>
  </si>
  <si>
    <t xml:space="preserve">Clarify guidance. All three level call for less than 5%. </t>
  </si>
  <si>
    <t>Low: 1 to 3</t>
  </si>
  <si>
    <t xml:space="preserve">            in the scoring.</t>
  </si>
  <si>
    <t xml:space="preserve">Note 3: Entering a weight of 0 results in the question being ignored </t>
  </si>
  <si>
    <t>A technology performance level assessment is intended to provide a comprehensive and holistic measure of a wave energy converter’s techno-economic performance potential. Although a technology performance level assessment can be applied at any technology development stage and technology readiness level, this tool is aimed at assessing early-stage concepts. 
This tool uses a series of questions in seven categories to guide the assessor in evaluating a wave energy converter. Each question addresses an aspect that impacts the techno-economic performance of a wave energy converter. For each question, the reviewer must provide a score. Because the tool is intended to evaluate the techno-economic performance of a range of wave energy converter architypes—which may be impacted differently by different evaluation criteria—the assessor can also customize the weighting of each question. The net technology performance level score is calculated by the score and weighting of each question.</t>
  </si>
  <si>
    <t>Have as low a CAPEX as possible</t>
  </si>
  <si>
    <t>Able to generate a large amount of electricity from wave energy</t>
  </si>
  <si>
    <t>Greenhouse Gas Emission and Pollution</t>
  </si>
  <si>
    <t>Safety and Function</t>
  </si>
  <si>
    <t xml:space="preserve">Globally Deployable </t>
  </si>
  <si>
    <t>Survivable</t>
  </si>
  <si>
    <t xml:space="preserve">Be able to cope with grid failures, grid loss, or grid interruption (black start capability); coupling grid loss with a communication loss </t>
  </si>
  <si>
    <t>Be able to avoid and survive collisions (ships, other marine users, mammals)</t>
  </si>
  <si>
    <t>Be survivable in temporary conditions, including installation (and tow-out, if applicable) and maintenance</t>
  </si>
  <si>
    <t xml:space="preserve">Several questions refer to mean power. To respond to those questions, the manufacturer must provide a power matrix and specify two wave spectrums that were used to calculate annual energy and then mean power for each spectrum. The wave spectrums must have an average of 15 kW/m and 30 kW/m energy and be representative of actual resource distributions in the real world. </t>
  </si>
  <si>
    <t>Total Score</t>
  </si>
  <si>
    <t>High (Score 8), Med (Score 5), and Low (Score 2)</t>
  </si>
  <si>
    <t>0 (Not Applicable) or 1 (Very Important)</t>
  </si>
  <si>
    <t xml:space="preserve">C.1.1 CapEx </t>
  </si>
  <si>
    <t>Capital expenditure (CapEx) includes all costs that occur in the construction, installation, and decommissioning of a WEC. The drivers of CapEx are design, manufacturability, transportability, and installability. CapEx includes costs related to grid connection.</t>
  </si>
  <si>
    <r>
      <rPr>
        <b/>
        <sz val="14"/>
        <color rgb="FF000000"/>
        <rFont val="Calibri"/>
        <family val="2"/>
        <scheme val="minor"/>
      </rPr>
      <t>C.1.1.1 Design</t>
    </r>
    <r>
      <rPr>
        <sz val="14"/>
        <rFont val="Calibri"/>
        <family val="2"/>
        <scheme val="minor"/>
      </rPr>
      <t xml:space="preserve"> 
The WEC should have a design that minimizes CapEx costs. This design should minimize loads, complexity, and material costs yet still be able to function in all expected operating conditions.</t>
    </r>
  </si>
  <si>
    <r>
      <rPr>
        <b/>
        <sz val="14"/>
        <color rgb="FF000000"/>
        <rFont val="Calibri"/>
        <family val="2"/>
        <scheme val="minor"/>
      </rPr>
      <t>C.1.1.2 Manufacturability</t>
    </r>
    <r>
      <rPr>
        <sz val="14"/>
        <color indexed="8"/>
        <rFont val="Calibri"/>
        <family val="2"/>
        <scheme val="minor"/>
      </rPr>
      <t xml:space="preserve">
The WEC should be easy and quick to mass-produce. It should minimize the need for specialized tools and equipment, highly qualified workers, and dedicated or specialized infrastructure for manufacturing, assembly, and storage. </t>
    </r>
  </si>
  <si>
    <t xml:space="preserve">C.1.2 OpEx </t>
  </si>
  <si>
    <r>
      <rPr>
        <b/>
        <sz val="14"/>
        <color rgb="FF000000"/>
        <rFont val="Calibri"/>
        <family val="2"/>
        <scheme val="minor"/>
      </rPr>
      <t>C.1.1.3 Transportability (Excluding Install)</t>
    </r>
    <r>
      <rPr>
        <sz val="14"/>
        <color indexed="8"/>
        <rFont val="Calibri"/>
        <family val="2"/>
        <scheme val="minor"/>
      </rPr>
      <t xml:space="preserve">
WEC components should be built close to the manufacturing or deployment site to minimize shipping and transportation costs. Alternatively, the components and subsystems should be of a size and modularity that makes standard transportation possible. </t>
    </r>
  </si>
  <si>
    <r>
      <rPr>
        <b/>
        <sz val="14"/>
        <color rgb="FF000000"/>
        <rFont val="Calibri"/>
        <family val="2"/>
        <scheme val="minor"/>
      </rPr>
      <t>C.1.1.4 Installability</t>
    </r>
    <r>
      <rPr>
        <sz val="14"/>
        <color indexed="8"/>
        <rFont val="Calibri"/>
        <family val="2"/>
        <scheme val="minor"/>
      </rPr>
      <t xml:space="preserve">
The WEC (including all components) should be installable in a range of weather conditions, require minimal time to install, use readily available vessels, and minimize the need for skilled workers.</t>
    </r>
  </si>
  <si>
    <r>
      <rPr>
        <b/>
        <sz val="14"/>
        <color indexed="8"/>
        <rFont val="Calibri"/>
        <family val="2"/>
        <scheme val="minor"/>
      </rPr>
      <t>C.1.2.1 Reliability (Cost of</t>
    </r>
    <r>
      <rPr>
        <b/>
        <sz val="14"/>
        <rFont val="Calibri"/>
        <family val="2"/>
        <scheme val="minor"/>
      </rPr>
      <t xml:space="preserve"> Unplanned M</t>
    </r>
    <r>
      <rPr>
        <b/>
        <sz val="14"/>
        <color indexed="8"/>
        <rFont val="Calibri"/>
        <family val="2"/>
        <scheme val="minor"/>
      </rPr>
      <t>aintenance) and Durability</t>
    </r>
    <r>
      <rPr>
        <sz val="14"/>
        <color indexed="8"/>
        <rFont val="Calibri"/>
        <family val="2"/>
        <scheme val="minor"/>
      </rPr>
      <t xml:space="preserve">
The WEC farm should be highly reliable to avoid costly unplanned maintenance. Repair costs for unplanned maintenance should be low. Costs include replacement parts, transportation to and from the site of repair, fees incurred as a result of wait times for weather windows, and fees for trained workers. 
The WEC should be highly durable to minimize planned maintenance. The number of components subject to wear, abrasion, and erosion should be minimal. Ideally, the durability of a WEC's components is the same as the lifetime of the farm. Planned maintenance costs should be low. Costs could include replacement parts, transportation to and from the site, fees incurred as a result of wait times for weather windows, and fees for trained workers. Costs do not include lost revenue as a result of downtime.</t>
    </r>
  </si>
  <si>
    <r>
      <rPr>
        <b/>
        <sz val="14"/>
        <rFont val="Calibri"/>
        <family val="2"/>
        <scheme val="minor"/>
      </rPr>
      <t>C.1.2.2 Maintainability</t>
    </r>
    <r>
      <rPr>
        <sz val="14"/>
        <rFont val="Calibri"/>
        <family val="2"/>
        <scheme val="minor"/>
      </rPr>
      <t xml:space="preserve">
The WEC should be designed for easy repair and replacement of parts and, if it is a floating device, for easy release for tow-in for major maintenance.</t>
    </r>
  </si>
  <si>
    <r>
      <rPr>
        <b/>
        <sz val="14"/>
        <color rgb="FF000000"/>
        <rFont val="Calibri"/>
        <family val="2"/>
        <scheme val="minor"/>
      </rPr>
      <t>C.1.3.1 Energy Capture</t>
    </r>
    <r>
      <rPr>
        <sz val="14"/>
        <color indexed="8"/>
        <rFont val="Calibri"/>
        <family val="2"/>
        <scheme val="minor"/>
      </rPr>
      <t xml:space="preserve">
The WEC should absorb a high percentage of wave energy. This implies that the WEC can absorb energy across a range of frequencies, heights, and wave directions. It should be minimally affected by tide, current, and wind. Availability is not covered here. </t>
    </r>
  </si>
  <si>
    <r>
      <rPr>
        <b/>
        <sz val="14"/>
        <color rgb="FF000000"/>
        <rFont val="Calibri"/>
        <family val="2"/>
        <scheme val="minor"/>
      </rPr>
      <t>C.1.3.2 Energy Conversion</t>
    </r>
    <r>
      <rPr>
        <sz val="14"/>
        <color indexed="8"/>
        <rFont val="Calibri"/>
        <family val="2"/>
        <scheme val="minor"/>
      </rPr>
      <t xml:space="preserve">
The WEC should have a small number of conversion steps, and each step should be highly efficient. Availability is not covered here.</t>
    </r>
  </si>
  <si>
    <r>
      <rPr>
        <b/>
        <sz val="14"/>
        <rFont val="Calibri"/>
        <family val="2"/>
        <scheme val="minor"/>
      </rPr>
      <t>C.1.4.1 Availability</t>
    </r>
    <r>
      <rPr>
        <sz val="14"/>
        <rFont val="Calibri"/>
        <family val="2"/>
        <scheme val="minor"/>
      </rPr>
      <t xml:space="preserve">
Availability is the ratio of time that the WEC is available to produce power (including time when the wave resource is not sufficient to generate power) to total time. </t>
    </r>
  </si>
  <si>
    <t>Other CapEx Questions</t>
  </si>
  <si>
    <r>
      <rPr>
        <b/>
        <sz val="12"/>
        <color theme="1"/>
        <rFont val="Times New Roman"/>
        <family val="1"/>
      </rPr>
      <t>General Question</t>
    </r>
    <r>
      <rPr>
        <sz val="12"/>
        <color theme="1"/>
        <rFont val="Times New Roman"/>
        <family val="1"/>
      </rPr>
      <t xml:space="preserve">
Are the WEC subsystems designed for the expected extreme loads and motion, for the lifetime operating loads, and for the operational environment? Are all components mature technology with a history of use in the marine environment? </t>
    </r>
  </si>
  <si>
    <t xml:space="preserve">Approach this question from the perspective of and impact on CapEx. For this question, keeping in mind that this is a low-technology-readiness-level system, look at the design methods, environmental conditions, and design assumptions used to design and evaluate the WEC. Are they sufficient, or have they missed important aspects that will impact the CapEx of the design? If any components (e.g., umbilicals or structural components) are not well designed, this is the opportunity to catch this. </t>
  </si>
  <si>
    <t>Mooring</t>
  </si>
  <si>
    <r>
      <rPr>
        <b/>
        <sz val="12"/>
        <rFont val="Times New Roman"/>
        <family val="1"/>
      </rPr>
      <t>Wave Energy Converter</t>
    </r>
    <r>
      <rPr>
        <sz val="12"/>
        <rFont val="Times New Roman"/>
        <family val="1"/>
      </rPr>
      <t xml:space="preserve">
These questions apply to the primary body of the WEC in all expected operating and safety configurations. Exclude station keeping systems if they are distinct embodiments (e.g., mooring lines) and not part of the primary body.
</t>
    </r>
  </si>
  <si>
    <r>
      <t xml:space="preserve">In production volumes, what is the estimated manufactured and assembled cost of the WEC device in dollars per rated megawatt? This is for the WEC device only and does not include balance-of-station or development costs. Rated power is defined here as the maximum sustained output of the WEC device to the collection system. </t>
    </r>
    <r>
      <rPr>
        <sz val="12"/>
        <color rgb="FFFF0000"/>
        <rFont val="Times New Roman"/>
        <family val="1"/>
      </rPr>
      <t xml:space="preserve"> </t>
    </r>
  </si>
  <si>
    <r>
      <t>Envision the WEC at full commercial production. Will the costs of the components of the primary WEC body (e.g., structure, power take-off, power conversion and conditioning) and the costs to assemble the WEC be low enough to enable the WEC to be competitive with conventional utility-scale power generation? At this technology readiness level, a high-level estimate is sufficient and should provide tra</t>
    </r>
    <r>
      <rPr>
        <sz val="11"/>
        <rFont val="Calibri"/>
        <family val="2"/>
        <scheme val="minor"/>
      </rPr>
      <t>cea</t>
    </r>
    <r>
      <rPr>
        <sz val="11"/>
        <color theme="1"/>
        <rFont val="Calibri"/>
        <family val="2"/>
        <scheme val="minor"/>
      </rPr>
      <t>ble cost estimates of all major components and assembly steps.</t>
    </r>
  </si>
  <si>
    <t xml:space="preserve">Specialty materials, hard-to-find components, and complex manufacturing can add significantly to CapEx. These should be avoided or minimized; however, designs that use innovative materials, manufacturing methods, or components and that have defensible solutions for volume production or reduced material costs should not be penalized. Similarly, a design should not be penalized if it relies on a feasible technology breakthrough. </t>
  </si>
  <si>
    <t>Will the device experience large structural loads because of breaking waves, large waves, or other environmental forces, and will large structural components be needed to resist that force?</t>
  </si>
  <si>
    <t xml:space="preserve">This question assesses how much additional structure, above what is needed during expected operation, is needed to resist extreme events. Designs should minimize material costs beyond what is needed for operation. </t>
  </si>
  <si>
    <t xml:space="preserve">Does the device need multiple configurations to limit stress in high-energy situations, increase energy capture, or meet other requirements? How much additional equipment (e.g., actuators, sensors) and structure, beyond what are needed for energy capture in a static configuration, are required to support the transformation? </t>
  </si>
  <si>
    <t xml:space="preserve">Many WEC incorporate some form of configuration change to adapt to operating and extreme environmental conditions. Changes may reduce load, increase energy capture, or accommodate another goal, such as personal transfer. All configuration changes should be safe and robust and be as simple as possible. Ideally, the cost of the equipment needed for transformation should reduce CapEx from the WEC with a static configuration. </t>
  </si>
  <si>
    <r>
      <rPr>
        <b/>
        <sz val="12"/>
        <color theme="1"/>
        <rFont val="Times New Roman"/>
        <family val="1"/>
      </rPr>
      <t>Power Take-Off</t>
    </r>
    <r>
      <rPr>
        <sz val="12"/>
        <color theme="1"/>
        <rFont val="Times New Roman"/>
        <family val="1"/>
      </rPr>
      <t xml:space="preserve">
Answer the following questions for the power take-off (PTO), the system that converts mechanical power (or equivalent) absorbed by the WEC to usable</t>
    </r>
    <r>
      <rPr>
        <sz val="12"/>
        <rFont val="Times New Roman"/>
        <family val="1"/>
      </rPr>
      <t>/transportable power (such as electricity or pressurized fluid). This includes elements such as drivetrains, generators, and pumps</t>
    </r>
    <r>
      <rPr>
        <sz val="12"/>
        <color theme="1"/>
        <rFont val="Times New Roman"/>
        <family val="1"/>
      </rPr>
      <t>.</t>
    </r>
  </si>
  <si>
    <r>
      <t>Are the components difficult to source, made of specialty materia</t>
    </r>
    <r>
      <rPr>
        <sz val="12"/>
        <rFont val="Times New Roman"/>
        <family val="1"/>
      </rPr>
      <t>l (e.g., very high cost, unknown properties for use/environment, or specially made/ordered)</t>
    </r>
    <r>
      <rPr>
        <sz val="12"/>
        <color theme="1"/>
        <rFont val="Times New Roman"/>
        <family val="1"/>
      </rPr>
      <t xml:space="preserve">, or not suitable for mass-manufacturing </t>
    </r>
    <r>
      <rPr>
        <sz val="12"/>
        <rFont val="Times New Roman"/>
        <family val="1"/>
      </rPr>
      <t>(e.g., difficult to work with or not suitable for conventional manufacturing methods)?</t>
    </r>
  </si>
  <si>
    <t>Are the components difficult to source, made of specialty material (e.g., very high cost, unknown properties for use/environment, or specially made/ordered) or not suitable for mass-manufacturing (e.g., difficult to work with or not suitable for conventional manufacturing methods)?</t>
  </si>
  <si>
    <t>PTO or equivalent subsystems are complex, but they must be assembled from readily sourced parts and in a straightforward manner.
Looking to the future toward a commercial design, is there a path by which the PTO or equivalent system can be readily manufactured at high volume and reasonable cost, or are there significant issues or risks that must be addressed before the design should proceed to higher technology readiness levels?</t>
  </si>
  <si>
    <t xml:space="preserve">Within the WEC, what is the target ratio of instantaneous peak to mean power for the energy conversion drive train? 
Instantaneous peak power is defined here as the maximum output of the energy conversion component. 
For mean power, the manufacturer must provide a power matrix and specify two wave spectrums used to calculate annual energy and then mean power for each spectrum. The wave spectrums must have an average of 15 kW/m and 30 kW/m energy and be representative of actual resource distributions in the real world. </t>
  </si>
  <si>
    <t>PTOs or equivalent subsystems are typically expensive, and they should operate at a high fraction of their mechanical and structural design. For example, wind generators typically operate above 90% of their design load once rated power is achieved, even in turbulent conditions. This is a ratio near 1  
At conditions that yield rated power, a PTO that operates, on average, at a small fraction of its structural and electrical design loads can drive up CapEx. Ideally, simulation or model test information is provided to quantify this. For this question, estimate the impact on CapEx.</t>
  </si>
  <si>
    <t xml:space="preserve">How many conversion steps are there between the absorbing element and the component that produces the transportable power (e.g., a gearbox, alternator, power conditioning in the WEC, hydraulic pump or motor)? Transportable power is electrical energy or pressurized working fluid, whichever is exported out of the WEC to the collection system. </t>
  </si>
  <si>
    <t>The number of conversion steps increases CapEx and decreases conversion efficiency, thus requiring more structure for energy capture. The PTO or equivalent subsystem must be as low-cost and efficient as possible to achieve efficiencies expected in other power generation fields. Consider the CapEx impact of the number of conversion steps and on efficiency in this question.</t>
  </si>
  <si>
    <r>
      <rPr>
        <sz val="12"/>
        <color rgb="FF00B050"/>
        <rFont val="Times New Roman"/>
        <family val="1"/>
      </rPr>
      <t xml:space="preserve">High: </t>
    </r>
    <r>
      <rPr>
        <sz val="12"/>
        <rFont val="Times New Roman"/>
        <family val="1"/>
      </rPr>
      <t xml:space="preserve">The cost estimate for the WEC is approximately $50,000/MW.
</t>
    </r>
    <r>
      <rPr>
        <sz val="12"/>
        <color rgb="FFFFC000"/>
        <rFont val="Times New Roman"/>
        <family val="1"/>
      </rPr>
      <t xml:space="preserve">
Med:</t>
    </r>
    <r>
      <rPr>
        <sz val="12"/>
        <rFont val="Times New Roman"/>
        <family val="1"/>
      </rPr>
      <t xml:space="preserve"> The cost estimate for the WEC is approximately $100,000/MW.
</t>
    </r>
    <r>
      <rPr>
        <sz val="12"/>
        <color rgb="FFFF0000"/>
        <rFont val="Times New Roman"/>
        <family val="1"/>
      </rPr>
      <t xml:space="preserve">Low: </t>
    </r>
    <r>
      <rPr>
        <sz val="12"/>
        <rFont val="Times New Roman"/>
        <family val="1"/>
      </rPr>
      <t>The cost estimate for the WEC is approximately $200,000/MW.</t>
    </r>
  </si>
  <si>
    <t xml:space="preserve">For cable-based mooring systems, what is the ratio of the expected watch circle (largest characteristic excursion of WEC) to the expected footprint (length to anchors, L)?  </t>
  </si>
  <si>
    <t xml:space="preserve">Watch circle size can drive the spacing of WECs, the length of station-keeping equipment, and power transmission components. Generally, the larger a watch circle, the higher the balance of station capital expenditure. </t>
  </si>
  <si>
    <t>For an expected depth, is the station-keeping system inexpensive and relatively simple?</t>
  </si>
  <si>
    <t xml:space="preserve">The capital cost of the mooring should be a small portion of the overall system CapEx, unless the overall WEC CapEx is much lower $1,000,000/MW. </t>
  </si>
  <si>
    <t>Does the cost and complexity of the station-keeping design scale well with depth ?</t>
  </si>
  <si>
    <t>CapEx can increase with depth, even if the device output remains the same. For example, for a mooring system, the lengths of lines increase with depth, and more buoyancy may need to be added to the WEC to support the additional weight of the longer lines. The impact of depth on CapEx must be quantified.</t>
  </si>
  <si>
    <t>For the controller, how much additional equipment (e.g., actuators and sensors) and structure, beyond what is needed for energy capture in an uncontrolled configuration, is required?</t>
  </si>
  <si>
    <t xml:space="preserve">Control systems can increase power capture, but they can be complicated and require significant information. Ideally, controllers should increase energy capture and reduce loads without adding significant cost. If controllers can reduce load, they can also reduce structural costs. This balance should be included here. If expensive sensors are needed, distribute the costs among the number of buoys that will use those sensors. </t>
  </si>
  <si>
    <t>For the system used to transport power from the WEC to the grid, is the system reasonably priced, and does it scale well with distance and array size?</t>
  </si>
  <si>
    <r>
      <t xml:space="preserve">Transmission costs should not dominate the CapEx unless overall WEC CapEx is much lower $1,000,000/MW. Consider array sizes to be: 
</t>
    </r>
    <r>
      <rPr>
        <sz val="11"/>
        <color theme="1"/>
        <rFont val="Calibri"/>
        <family val="2"/>
      </rPr>
      <t>•</t>
    </r>
    <r>
      <rPr>
        <sz val="8.25"/>
        <color theme="1"/>
        <rFont val="Calibri"/>
        <family val="2"/>
      </rPr>
      <t xml:space="preserve"> </t>
    </r>
    <r>
      <rPr>
        <sz val="11"/>
        <color theme="1"/>
        <rFont val="Calibri"/>
        <family val="2"/>
        <scheme val="minor"/>
      </rPr>
      <t>Small: Up to 10 MW
• Medium: 10 MW</t>
    </r>
    <r>
      <rPr>
        <sz val="11"/>
        <color theme="1"/>
        <rFont val="Calibri"/>
        <family val="2"/>
      </rPr>
      <t>–</t>
    </r>
    <r>
      <rPr>
        <sz val="11"/>
        <color theme="1"/>
        <rFont val="Calibri"/>
        <family val="2"/>
        <scheme val="minor"/>
      </rPr>
      <t>100 MW
• High: 100+ MW. 
Consider distance to shore to be: 
• Short: &lt;10 km
• Medium: 10 km–50 km
• Long: &gt;50 km.</t>
    </r>
  </si>
  <si>
    <t>Considering the entire WEC, are systems or components custom-manufactured outside of expected or common practices? This could include custom generators, nontypical manufacturing processes, and non-commercial off-the-shelf components where commercial off-the-shelf components are common.</t>
  </si>
  <si>
    <t>Envision the WEC at full commercial production. Are there any components that cannot be mass-manufactured in a straightforward or cost-effective manner, and, as such, will not allow economies of scale? Consider complex geometries, special-order components (unique generator designs), and designs that require customization for each site.</t>
  </si>
  <si>
    <t xml:space="preserve">What are the manufacturing facility requirements? Can manufacturing and assembly be performed local to deployment sites or the WEC farm location? Consider lifting, transport, launching, power, and enclosures/environmental conditioning.
</t>
  </si>
  <si>
    <t xml:space="preserve">Ideally, the WEC should be able to be manufactured using conventional methods and equipment. Costly shore facilities, such as dry docks or heave-lift cranes, should be avoided to minimize cost.
</t>
  </si>
  <si>
    <t xml:space="preserve">What expertise is needed from the workforce (dependent on material type, level of tolerances that must be achieved, specialized safety, customized molds)? </t>
  </si>
  <si>
    <t>To minimize cost, WEC manufacturing and assembly should not require highly specialized skills, hazardous materials, or dangerous work conditions.</t>
  </si>
  <si>
    <r>
      <t xml:space="preserve">High: </t>
    </r>
    <r>
      <rPr>
        <sz val="12"/>
        <color theme="1"/>
        <rFont val="Times New Roman"/>
        <family val="1"/>
      </rPr>
      <t xml:space="preserve">All of the surfaces and structure are easy to develop using existing techniques.  
</t>
    </r>
    <r>
      <rPr>
        <sz val="12"/>
        <color rgb="FFFFC000"/>
        <rFont val="Times New Roman"/>
        <family val="1"/>
      </rPr>
      <t xml:space="preserve">
Med:</t>
    </r>
    <r>
      <rPr>
        <sz val="12"/>
        <color theme="1"/>
        <rFont val="Times New Roman"/>
        <family val="1"/>
      </rPr>
      <t xml:space="preserve"> Some of the surfaces and structure require special forming or significant labor.
</t>
    </r>
    <r>
      <rPr>
        <sz val="12"/>
        <color rgb="FFFF0000"/>
        <rFont val="Times New Roman"/>
        <family val="1"/>
      </rPr>
      <t xml:space="preserve">
Low: </t>
    </r>
    <r>
      <rPr>
        <sz val="12"/>
        <color theme="1"/>
        <rFont val="Times New Roman"/>
        <family val="1"/>
      </rPr>
      <t xml:space="preserve">A significant amount of the structure and shell requires special forming or extra labor. </t>
    </r>
  </si>
  <si>
    <t>Complex shapes are often much more expensive to manufacture than relatively simple shapes.</t>
  </si>
  <si>
    <t>Are any components not readily manufacturable locally, large, and therefore require overland transport with specialized vehicles or logistics (i.e., cannot be transported on conventional trains or trucks, not available from a shoreside manufacturer)?</t>
  </si>
  <si>
    <t xml:space="preserve">Can the WEC device be assembled fully onshore or at the side of a pier in a harbor and towed easily and safely to the installation site? Or can it be easily assembled offshore in a range of weather conditions?  </t>
  </si>
  <si>
    <t xml:space="preserve">When WECs need to be transported from manufacturing facilities, they should  use conventional methods of transport, such as roads and rails, and be assembled using equipment found in conventional  coastal facilities (shipyards). Ships are a transport option as long as many devices can be fit on a ship that can navigate to and offload in typical coastal facilities. Huge cargo ships may not be a viable option because they are limited to commercial port facilities and would require secondary transport to the assembly location. </t>
  </si>
  <si>
    <t xml:space="preserve">Overall, can the WEC be deployed from coastal facilities (shipyards) using commonly available vessels, or will special/expensive vessels need to be brought in?
</t>
  </si>
  <si>
    <t xml:space="preserve">How fast can the WEC be transported from the dock to the installation site, and how weather- or sea state-dependent is the tow? </t>
  </si>
  <si>
    <t xml:space="preserve">The cost and risk of towing are directly proportional to towing time. The longer the tow, the higher the cost. Also, costs increase when tows are limited to lower sea states because there are fewer weather windows for tow-out and higher standby costs.  </t>
  </si>
  <si>
    <t xml:space="preserve">What type of installation vessels will be needed for 1 MW of capacity? This can include multiple devices up to 1 MW if they can be deployed in one trip. Guidance should scale for larger devices.  </t>
  </si>
  <si>
    <r>
      <t>Larger support vessels cost more. Costs can increase exponentially with size.</t>
    </r>
    <r>
      <rPr>
        <sz val="11"/>
        <color rgb="FFFF0000"/>
        <rFont val="Calibri"/>
        <family val="2"/>
        <scheme val="minor"/>
      </rPr>
      <t xml:space="preserve"> </t>
    </r>
  </si>
  <si>
    <t>How difficult is the installation (excluding the installation of the station-keeping system)? Consider all steps and equipment needed to install the WEC.</t>
  </si>
  <si>
    <t>WEC installation can be expensive if multiple large vessels, special vessels, divers, or many steps are needed. This also severely limits sea states and operating hours. Ideally, a WEC should be able to be quickly installed with minimal vessels without using divers or underwater vehicles. Steps should be straightforward, low-risk, and reversible.</t>
  </si>
  <si>
    <r>
      <t>WEC installation can be expensive. If installation can only be done in a narrow weather window</t>
    </r>
    <r>
      <rPr>
        <sz val="11"/>
        <color theme="1"/>
        <rFont val="Calibri"/>
        <family val="2"/>
      </rPr>
      <t>—</t>
    </r>
    <r>
      <rPr>
        <sz val="11"/>
        <color theme="1"/>
        <rFont val="Calibri"/>
        <family val="2"/>
        <scheme val="minor"/>
      </rPr>
      <t xml:space="preserve">even if installation is quick or requires few vessels—cost can quickly rise if  assets are on hold waiting for the weather. The larger the weather window, the more devices that can be installed in a given period, thus reducing costs. </t>
    </r>
  </si>
  <si>
    <t xml:space="preserve">Are the WEC subsystems designed for the expected extreme loads, the operating loads for the lifetime of the system, and the operational environment?  </t>
  </si>
  <si>
    <t xml:space="preserve">This question is repeated from the CapEx section, but approach this question from the perspective of and impact on OpEx. How often will the WEC need to be repaired, and how much will those repairs cost? For this question, keeping in mind that this is a low technology readiness level system, look at the design methods, environmental conditions, and design assumptions used to design and evaluate the WEC. Are they sufficient, or have they missed important aspects that will impact the OpEx of the design? If any components (e.g., umbilicals, structural components) are not well designed, this is the opportunity to catch this.  </t>
  </si>
  <si>
    <t xml:space="preserve">What are the known failure modes and frequency of failure for WEC subsystems and their components? What is the level of confidence for failure modes and frequency? What are the consequences of failure? </t>
  </si>
  <si>
    <r>
      <t>The WEC should be reliable and use proven technologies or low-risk technologies to minimize OpEx costs.</t>
    </r>
    <r>
      <rPr>
        <sz val="11"/>
        <color rgb="FFFF0000"/>
        <rFont val="Calibri"/>
        <family val="2"/>
        <scheme val="minor"/>
      </rPr>
      <t xml:space="preserve"> </t>
    </r>
  </si>
  <si>
    <r>
      <t>What is the most difficult remove-and-replace maintenance task expected on the WEC during its operating life</t>
    </r>
    <r>
      <rPr>
        <sz val="12"/>
        <color theme="1"/>
        <rFont val="Calibri"/>
        <family val="2"/>
      </rPr>
      <t>—</t>
    </r>
    <r>
      <rPr>
        <sz val="12"/>
        <color theme="1"/>
        <rFont val="Times New Roman"/>
        <family val="1"/>
      </rPr>
      <t xml:space="preserve">either due to mass and size that requires a crane or due to the coordination of divers and lift equipment? </t>
    </r>
  </si>
  <si>
    <t xml:space="preserve">Offshore maintenance can be expensive if large work boats and other special equipment is needed. The WEC should require minimal intervention to minimize OpEx costs. This question is intended to consider the most complex and expensive task that is expected/likely to occur on a WEC. Rare intervention tasks that are very unlikely to occur during the lifetime of a WEC should not be considered. Approach this question from the perspective of and impact on OpEx. </t>
  </si>
  <si>
    <t xml:space="preserve">What are the limiting sea states that allow maintenance access? How is relative motion between the WEC and work platform minimized? Or motion between the WEC and power take-off mooring? </t>
  </si>
  <si>
    <r>
      <t>Offshore maintenance of WECs can be expensive. If it can only be done in a narrow weather window</t>
    </r>
    <r>
      <rPr>
        <sz val="11"/>
        <color theme="1"/>
        <rFont val="Calibri"/>
        <family val="2"/>
      </rPr>
      <t>—</t>
    </r>
    <r>
      <rPr>
        <sz val="11"/>
        <color theme="1"/>
        <rFont val="Calibri"/>
        <family val="2"/>
        <scheme val="minor"/>
      </rPr>
      <t>even if the task is quick or requires minimal support</t>
    </r>
    <r>
      <rPr>
        <sz val="11"/>
        <color theme="1"/>
        <rFont val="Calibri"/>
        <family val="2"/>
      </rPr>
      <t>—</t>
    </r>
    <r>
      <rPr>
        <sz val="11"/>
        <color theme="1"/>
        <rFont val="Calibri"/>
        <family val="2"/>
        <scheme val="minor"/>
      </rPr>
      <t xml:space="preserve">cost can quickly rise if assets are on hold waiting for the weather.  The larger the weather window, the more devices that can be maintained in a given period, thus reducing costs and device downtime. </t>
    </r>
  </si>
  <si>
    <t xml:space="preserve">Can the WEC device absorb energy effectively over a range of wave resources that are expected for early development? Is the WEC insensitive to wave direction? </t>
  </si>
  <si>
    <t>The WEC should not be limited to operating in a narrow resource found at limited sites but should be able to produce its nominal peak power for many different resources and, thus, at many different sites. Small variations in resource do not result in large variation in performance. Also, most sites do not have unidirectional waves, so WECs should be insensitive to wave direction.</t>
  </si>
  <si>
    <t xml:space="preserve">How efficient is the device at absorbing wave energy? Calculate the capture width ratio for two specified spectrums, and average the results. 
The manufacturer must provide a power matrix and specify two wave spectrums used to calculate annual energy and then mean power for each spectrum. The wave spectrums must have an average of 15 kW/m and 30 kW/m energy and be representative of actual resource distributions in the real world. Capture width (CW) is the power divided by the resource (kW/(kW/m)). Capture width ratio is CW/B, where B is the characteristic dimension (diameter for a point device). </t>
  </si>
  <si>
    <t xml:space="preserve">A WEC should absorb as much of the wave energy flux as possible. </t>
  </si>
  <si>
    <t xml:space="preserve">Is the theoretical limit for energy absorption by the wave power collecting systems units large (number of degrees of freedom and types, orientation, Budal limit)? </t>
  </si>
  <si>
    <t>If applicable, how are the motion and range of the absorbing elements of the wave power collecting systems mechanically limited?</t>
  </si>
  <si>
    <t>Limitations placed on the motion of the absorbing element can reduce energy capture, so consider any impact this may have on energy capture and conversion.</t>
  </si>
  <si>
    <t xml:space="preserve">Many areas with a viable wave resource also have tides, currents, and wind. Ideally, these should have no impact on WEC energy absorption. </t>
  </si>
  <si>
    <t xml:space="preserve">What is the influence of the station-keeping system on energy absorption? </t>
  </si>
  <si>
    <r>
      <t>How many conversion steps are there between the absorbing element and the component that produces the transportable power? How many times is the form of the energy significantly changed? What is the design average combined energy conversion and transmission efficiency? This does not include the efficiency of converting wave energy to mechanical energy. Use average energ</t>
    </r>
    <r>
      <rPr>
        <sz val="12"/>
        <rFont val="Times New Roman"/>
        <family val="1"/>
      </rPr>
      <t xml:space="preserve">y input </t>
    </r>
    <r>
      <rPr>
        <sz val="12"/>
        <color theme="1"/>
        <rFont val="Times New Roman"/>
        <family val="1"/>
      </rPr>
      <t xml:space="preserve">over average energy output over a year of operation in the design operating resource. </t>
    </r>
  </si>
  <si>
    <t>The number of conversion steps decreases conversion efficiency. The power take-off or equivalent subsystem must be as  efficient as possible to achieve efficiencies expected in other power generation fields.  
Transportable power is electrical energy or pressurized working fluid, whichever is exported out of the WEC to the collection system. Insignificant changes include things like simple changes of direction (e.g., a pulley or bell-crank), while significant changes include magnitude exchanges (e.g., a gearbox changing torque and speed or a transformer changing voltage and current), changes in form (e.g., linear mechanical to rotational mechanical), or changes in type (e.g., mechanical to electrical, hydraulic to pneumatic). A complete gearbox will count as one change regardless of how many stages it contains, and a complete power converter (i.e., rectifier-inverter combination) will count as one change regardless of its electrical configuration, even if the rectifier and inverter are physically separate.</t>
  </si>
  <si>
    <t xml:space="preserve">Within the WEC, what is the target ratio of instantaneous peak to mean power for the energy conversion drive train? 
Instantaneous peak power is defined here as the maximum output of the energy conversion component. For mean power, the manufacturer must provide a power matrix and specify two wave spectrums that were used to calculate annual energy and then mean power for each spectrum. The wave spectrums must have an average of 15 kW/m and 30 kW/m energy and be representative of actual resource distributions in the real world. </t>
  </si>
  <si>
    <r>
      <rPr>
        <sz val="11"/>
        <rFont val="Calibri"/>
        <family val="2"/>
        <scheme val="minor"/>
      </rPr>
      <t>This question is repeated from the CapEx section, but for this section, estimate the impact on energy conversion efficiency.</t>
    </r>
    <r>
      <rPr>
        <sz val="11"/>
        <color rgb="FFFF0000"/>
        <rFont val="Calibri"/>
        <family val="2"/>
        <scheme val="minor"/>
      </rPr>
      <t xml:space="preserve"> 
</t>
    </r>
    <r>
      <rPr>
        <sz val="11"/>
        <color theme="1"/>
        <rFont val="Calibri"/>
        <family val="2"/>
        <scheme val="minor"/>
      </rPr>
      <t>Power take-offs or equivalent subsystems are typically expensive, and they should operate at a high fraction of their mechanical and structural design. For example, wind generators typically operate above 90% of their design load once rated power is achieved, even in turbulent conditions. This is a ratio near 1 . 
At conditions that yield rated power, a power take-off that operates, on average, at a small fraction of its structural and electrical design loads can drive up CapEx. Ideally, simulation or model test information is provided to quantify this.</t>
    </r>
  </si>
  <si>
    <r>
      <t xml:space="preserve">For the Power Collection System (After the WEC </t>
    </r>
    <r>
      <rPr>
        <sz val="12"/>
        <rFont val="Times New Roman"/>
        <family val="1"/>
      </rPr>
      <t xml:space="preserve">Output </t>
    </r>
    <r>
      <rPr>
        <sz val="12"/>
        <color theme="1"/>
        <rFont val="Times New Roman"/>
        <family val="1"/>
      </rPr>
      <t xml:space="preserve">to the Point of Connection) </t>
    </r>
  </si>
  <si>
    <r>
      <t>How many conversion steps are there after th</t>
    </r>
    <r>
      <rPr>
        <sz val="12"/>
        <rFont val="Times New Roman"/>
        <family val="1"/>
      </rPr>
      <t xml:space="preserve">e output </t>
    </r>
    <r>
      <rPr>
        <sz val="12"/>
        <color theme="1"/>
        <rFont val="Times New Roman"/>
        <family val="1"/>
      </rPr>
      <t xml:space="preserve">from the individual WEC device to the point of connection? What is the design combined average energy efficiency of the conversion steps? Loses </t>
    </r>
    <r>
      <rPr>
        <sz val="12"/>
        <rFont val="Times New Roman"/>
        <family val="1"/>
      </rPr>
      <t>in the WEC are not included h</t>
    </r>
    <r>
      <rPr>
        <sz val="12"/>
        <color theme="1"/>
        <rFont val="Times New Roman"/>
        <family val="1"/>
      </rPr>
      <t>ere</t>
    </r>
  </si>
  <si>
    <r>
      <t>The number of conversion ste</t>
    </r>
    <r>
      <rPr>
        <sz val="11"/>
        <rFont val="Calibri"/>
        <family val="2"/>
        <scheme val="minor"/>
      </rPr>
      <t>ps decreases conversion efficiency. After the WEC</t>
    </r>
    <r>
      <rPr>
        <sz val="11"/>
        <color theme="1"/>
        <rFont val="Calibri"/>
        <family val="2"/>
        <scheme val="minor"/>
      </rPr>
      <t xml:space="preserve">, how many more times is the energy transformed, such as from AC to DC and then back to AC or hydraulic flow and velocity to mechanical power to electrical power? This does not include transmission </t>
    </r>
    <r>
      <rPr>
        <sz val="11"/>
        <rFont val="Calibri"/>
        <family val="2"/>
        <scheme val="minor"/>
      </rPr>
      <t xml:space="preserve">(wire) </t>
    </r>
    <r>
      <rPr>
        <sz val="11"/>
        <color theme="1"/>
        <rFont val="Calibri"/>
        <family val="2"/>
        <scheme val="minor"/>
      </rPr>
      <t xml:space="preserve">losses because they are project/site-dependent. </t>
    </r>
  </si>
  <si>
    <t>Many conversion and transmission systems' performance degrades with pulsating flow, and oversized components are needed to handle the peaks. This question aims to account for the reduced efficiencies that occur because a pulsating flow is used instead of a steady flow.</t>
  </si>
  <si>
    <t xml:space="preserve">Are the WEC subsystems designed for the expected extreme loads and motion, the lifetime operating loads, and the operational environment? Are all components mature technology with a history of use in the marine environment? </t>
  </si>
  <si>
    <t xml:space="preserve">This question is repeated from the CapEx and OpEx sections, but  approach it here from the perspective of and impact on availability. How often will the WEC be inoperable? 
For this question, keeping in mind that this is a low technology readiness level system, look at the design methods, environmental conditions, and design assumptions used to design and evaluate the WEC. Are they sufficient, or have they missed important aspects that will impact availability? If any components (e.g., umbilicals, structural components) are not well-designed, this is the opportunity to catch this. </t>
  </si>
  <si>
    <r>
      <t>What is the most difficult remove-and-replace maintenance task expected on the WEC during its operating life</t>
    </r>
    <r>
      <rPr>
        <sz val="12"/>
        <color theme="1"/>
        <rFont val="Calibri"/>
        <family val="2"/>
      </rPr>
      <t>—</t>
    </r>
    <r>
      <rPr>
        <sz val="12"/>
        <color theme="1"/>
        <rFont val="Times New Roman"/>
        <family val="1"/>
      </rPr>
      <t xml:space="preserve">either because of mass and size that requires a crane or coordination of divers and lift equipment? </t>
    </r>
  </si>
  <si>
    <t xml:space="preserve">This question is repeated from the OpEx section, but consider the impact on availability instead of OpEx here. Offshore maintenance can be expensive if large work boats and other special equipment are needed. If large, specialized assets are needed, it can take time to hire the equipment, and schedules can be delayed by months. 
This question is intended to consider the most complex and expensive task that is expected/likely to occur on a WEC. Rare intervention tasks that are very unlikely to occur during the lifetime of a WEC should not be considered. </t>
  </si>
  <si>
    <t xml:space="preserve">C.2.1 Investment Opportunity </t>
  </si>
  <si>
    <t>It is critical that WEC farm risks are well understood and manageable. Financial risk is determined by analysis of the probabilities of the risks and their financial consequences. Uncertainties about costs (CapEx and OpEx), revenues (energy production and availability), and survivability are the drivers.</t>
  </si>
  <si>
    <r>
      <rPr>
        <b/>
        <sz val="14"/>
        <color rgb="FF000000"/>
        <rFont val="Calibri"/>
        <family val="2"/>
        <scheme val="minor"/>
      </rPr>
      <t xml:space="preserve">C.2.1.4 CAPEX Uncertainty </t>
    </r>
    <r>
      <rPr>
        <sz val="14"/>
        <color indexed="8"/>
        <rFont val="Calibri"/>
        <family val="2"/>
        <scheme val="minor"/>
      </rPr>
      <t xml:space="preserve">
CapEx may be greater than expected because of an increase in materials or component prices or increased manufacturing, transportation, or installation costs. </t>
    </r>
  </si>
  <si>
    <t xml:space="preserve">This question is repeated from the Cost of Energy section. Approach it here from the perspective of CapEx uncertainty. How certain are the CapEx costs of the design? For this question, keeping in mind that this is a low-technology-readiness-level system, look at the design methods, environmental conditions, and design assumptions used to design and evaluate the WEC. Are they sufficient, or have they missed important aspects that will impact the uncertainty of the CapEx of the design? If any components (e.g., umbilicals, structural components) are not well designed, this is the opportunity to catch this. </t>
  </si>
  <si>
    <t xml:space="preserve">Are any material types used in the WEC rare or located only in particular parts of the world? What material types are vulnerable to price fluctuations?
</t>
  </si>
  <si>
    <t>Commonly available materials have multiple sources in many countries, and this yields stable supply lines and prices. However, some materials (such as rare elements) may only be sourced from one or a few areas. If a significant portion of a device's CapEx is from such materials, the cost of the WEC can be directly related to the volatility of the rare material pricing.</t>
  </si>
  <si>
    <t>Are new manufacturing capabilities or new workforce expertise needed to construct the WEC?</t>
  </si>
  <si>
    <r>
      <t>If manufacturing capabilities beyond existing commercial capabilities are needed (such as developing new automated welding processes) or if manufacturing skills that are not currently taught at trade schools and colleges are needed, this can cause uncertainty in the cost of manufacturing. If capabilities or skills don't currently exist but a clear and straightforward path to achieving them is certain, then consider them as capabilities/skill</t>
    </r>
    <r>
      <rPr>
        <sz val="11"/>
        <rFont val="Calibri"/>
        <family val="2"/>
        <scheme val="minor"/>
      </rPr>
      <t xml:space="preserve">s that </t>
    </r>
    <r>
      <rPr>
        <sz val="11"/>
        <color theme="1"/>
        <rFont val="Calibri"/>
        <family val="2"/>
        <scheme val="minor"/>
      </rPr>
      <t xml:space="preserve">do exist. </t>
    </r>
  </si>
  <si>
    <r>
      <rPr>
        <b/>
        <sz val="14"/>
        <color rgb="FF000000"/>
        <rFont val="Calibri"/>
        <family val="2"/>
        <scheme val="minor"/>
      </rPr>
      <t>C.2.1.1  OPEX Uncertainty</t>
    </r>
    <r>
      <rPr>
        <sz val="14"/>
        <color indexed="8"/>
        <rFont val="Calibri"/>
        <family val="2"/>
        <scheme val="minor"/>
      </rPr>
      <t xml:space="preserve">
OpEx may be uncertain due to a lack of data on the reliability or durability of WEC components. </t>
    </r>
  </si>
  <si>
    <t xml:space="preserve">Are the WEC subsystems designed for the expected extreme loads and motion, for the lifetime operating loads, and for the operational environment? Are all components mature technology with a history of use in the marine environment? </t>
  </si>
  <si>
    <t xml:space="preserve">This question is repeated from the Cost of Energy section and from the CapEx uncertainty above. Approach it here from the perspective of OpEx uncertainty. How certain are the expected maintenance and repair costs? For this question, keeping in mind that this is a low-technology-readiness-level system, look at the design methods, environmental conditions, and design assumptions used to design and evaluate the WEC. Are they sufficient, or have they missed important aspects that will impact the uncertainty of the OpEx of the design?. If any components (e.g., umbilicals, structural components) are not well designed, this is the opportunity to catch this. </t>
  </si>
  <si>
    <r>
      <t>What are the known failure modes and frequency of failure for WEC subsystems and their components? What is the level of confidence for failure modes and frequency? In terms of OpEx uncertainty, how well have the failure modes and frequency of failures been characterized and costed</t>
    </r>
    <r>
      <rPr>
        <sz val="12"/>
        <rFont val="Times New Roman"/>
        <family val="1"/>
      </rPr>
      <t xml:space="preserve">? What are the consequences of failure? </t>
    </r>
  </si>
  <si>
    <r>
      <t>Offshore maintenance of WECs can be expensive. If it can only be done in a narrow weather window</t>
    </r>
    <r>
      <rPr>
        <sz val="11"/>
        <rFont val="Calibri"/>
        <family val="2"/>
      </rPr>
      <t>—</t>
    </r>
    <r>
      <rPr>
        <sz val="11"/>
        <rFont val="Calibri"/>
        <family val="2"/>
        <scheme val="minor"/>
      </rPr>
      <t>even if the task is quick or requires minimal support</t>
    </r>
    <r>
      <rPr>
        <sz val="11"/>
        <rFont val="Calibri"/>
        <family val="2"/>
      </rPr>
      <t>—</t>
    </r>
    <r>
      <rPr>
        <sz val="11"/>
        <rFont val="Calibri"/>
        <family val="2"/>
        <scheme val="minor"/>
      </rPr>
      <t xml:space="preserve">cost can quickly rise if assets are on hold waiting for the weather. The larger the weather window, the more devices that can be maintained in a given period, thus reducing costs and device downtime. For this question, how well have the maintenance sea states been defined, and how likely are the maintenance activities to be conducted in the specified sea states? </t>
    </r>
  </si>
  <si>
    <r>
      <rPr>
        <b/>
        <sz val="14"/>
        <color rgb="FF000000"/>
        <rFont val="Calibri"/>
        <family val="2"/>
        <scheme val="minor"/>
      </rPr>
      <t>C.2.1.3 Performance Uncertainty</t>
    </r>
    <r>
      <rPr>
        <sz val="14"/>
        <color indexed="8"/>
        <rFont val="Calibri"/>
        <family val="2"/>
        <scheme val="minor"/>
      </rPr>
      <t xml:space="preserve">
Uncertainty about resource characterization, WEC performance, and WEC availability reduces investor confidence in project revenue. </t>
    </r>
  </si>
  <si>
    <r>
      <t>Can the WEC device absorb energy effectively over a range of wave resources that are expected for early development? Is the WEC insensitive to wave directi</t>
    </r>
    <r>
      <rPr>
        <sz val="12"/>
        <rFont val="Times New Roman"/>
        <family val="1"/>
      </rPr>
      <t>on? Was the performance modeling performed with validated tools that give a high confidence in the projected performance?</t>
    </r>
    <r>
      <rPr>
        <sz val="12"/>
        <color theme="1"/>
        <rFont val="Times New Roman"/>
        <family val="1"/>
      </rPr>
      <t xml:space="preserve"> </t>
    </r>
  </si>
  <si>
    <t>This question is repeated from the Cost of Energy section. The WEC should not be limited to operating in a narrow resource found at limited sites but should be able to produce its nominal peak power for many different resources and, thus, at many different sites. Small variations in resource do not result in large variation in performance. For this question, consider the uncertainty of the project performance. How well was the modeling performed? Was an accurate model of the device and control system used?</t>
  </si>
  <si>
    <r>
      <rPr>
        <b/>
        <sz val="14"/>
        <color rgb="FF000000"/>
        <rFont val="Calibri"/>
        <family val="2"/>
        <scheme val="minor"/>
      </rPr>
      <t>C.2.1.2 Availability Uncertainty</t>
    </r>
    <r>
      <rPr>
        <sz val="14"/>
        <color indexed="8"/>
        <rFont val="Calibri"/>
        <family val="2"/>
        <scheme val="minor"/>
      </rPr>
      <t xml:space="preserve">
Availability may be less than expected because of uncertainties in the reliability or the durability of components. Availability may also be diminished because waiting time between weather windows for planned and unplanned maintenance is longer than expected.</t>
    </r>
  </si>
  <si>
    <t xml:space="preserve">This question is repeated from the Cost of Energy section and from the CapEx and OpEx uncertainty above. Approach it here from the perspective of availability uncertainty. How certain are the estimates of downtime between repairs? For this question, keeping in mind that this is a low-technology-readiness-level system, look at the design methods, environmental conditions, and design assumptions used to design and evaluate the WEC. Are they sufficient, or have they missed important aspects that will impact the uncertainty of the availability of the design? If any components (e.g., umbilicals, structural components) are not well designed, this is the opportunity to catch this. </t>
  </si>
  <si>
    <r>
      <t>What are the known failure modes and frequency of failure for WEC subsystems and their components? What is the level of confid</t>
    </r>
    <r>
      <rPr>
        <sz val="12"/>
        <rFont val="Times New Roman"/>
        <family val="1"/>
      </rPr>
      <t xml:space="preserve">ence for failure modes and frequency? What are the consequences of failure? </t>
    </r>
  </si>
  <si>
    <t>This question is repeated from the Cost of Energy section but here focuses on the impact of availability uncertainty. The WEC should use proven or low-risk technologies to maximize availability. Are the identified failure modes and frequency of failure adequately assessed, and is there a good degree of certainty that major failure modes have not been missed? This question should assess the uncertainty and the potential impact of those uncertainties on availability.</t>
  </si>
  <si>
    <r>
      <t>This question is repeated from the Cost of Energy section and from the OpEx uncertainty above. In terms of the uncertainty for availability, how will the access to the WEC for maintenance improve or reduce availability? How certain are the expected estimates of sea state and how certain is it that the maintenance activities can be conducted in the specified sea states? 
Offshore maintenance of WECs can be expensive. If it can only be performed in a narrow weather window</t>
    </r>
    <r>
      <rPr>
        <sz val="11"/>
        <rFont val="Calibri"/>
        <family val="2"/>
      </rPr>
      <t>—</t>
    </r>
    <r>
      <rPr>
        <sz val="11"/>
        <rFont val="Calibri"/>
        <family val="2"/>
        <scheme val="minor"/>
      </rPr>
      <t>even if the task is quick or requires minimal support</t>
    </r>
    <r>
      <rPr>
        <sz val="11"/>
        <rFont val="Calibri"/>
        <family val="2"/>
      </rPr>
      <t>—</t>
    </r>
    <r>
      <rPr>
        <sz val="11"/>
        <rFont val="Calibri"/>
        <family val="2"/>
        <scheme val="minor"/>
      </rPr>
      <t>cost can quickly rise if assets are on hold waiting for the weather. The larger the weather window, the more devices that can be maintained in a given period, thus reducing costs and device downtime.</t>
    </r>
  </si>
  <si>
    <t>Can the WEC device absorb energy effectively over a range of wave resources that are expected for early development? Is the WEC insensitive to wave direction?</t>
  </si>
  <si>
    <t>This question is repeated from the Cost of Energy and Investment Opportunity sections. The WEC should not be limited to operating in a narrow resource found at limited sites but should be able to produce its nominal peak power for many different resources and, thus, at many different sites. Small variations in resource do not result in large variation in performance. 
For this question, consider the uncertainty of project performance. How well was the modeling performed? Was an accurate model of the device and control system used? For this question, is the WEC's ability to absorb power sufficiently broad-banded that it can provide reliable power to the grid over a range of sea states (combinations of wave height and wave period)?</t>
  </si>
  <si>
    <t xml:space="preserve">C.4.1  Impact on Local Communities </t>
  </si>
  <si>
    <t xml:space="preserve">C.4.2 Greenhouse Gas Emission and Pollution </t>
  </si>
  <si>
    <t>Local benefits may include job creation, increase in economic activity, protection from coastal erosion, increase in the tax base, and improvement of infrastructure. Local benefits shall largely overcome possible negative impacts (e.g., visual obstruction in the seascape).</t>
  </si>
  <si>
    <t xml:space="preserve">The WEC farm must be a low-greenhouse-gas-emission energy source over its entire lifecycle. The WEC farm should not pollute the environment during construction, operation, or disposal.  </t>
  </si>
  <si>
    <t xml:space="preserve">How many operating jobs (life of the project) will the WEC contribute to the local community where it is deployed, in full-time-equivalent jobs per gigawatt of installed capacity?  </t>
  </si>
  <si>
    <t>For a large WEC farm of more than 50 MW, how many jobs will be created in local communities for operation, maintenance, logistics, etc.? Ideally, there will be a balance between reliability, durability, maintainability, and job creation to minimize OpEx.</t>
  </si>
  <si>
    <t xml:space="preserve">How many construction/manufacturing jobs will the WEC contribute to the local community where the farm is located during farm construction, in full-time-equivalent job years per gigawatt of installed capacity? This includes local manufacturing and assembly if that is normally done locally. </t>
  </si>
  <si>
    <t xml:space="preserve">For a large WEC farm of more than 50 MW, how many jobs will be created in local communities during the construction of the farm?  </t>
  </si>
  <si>
    <t xml:space="preserve">How many jobs will the WEC contribute to the local community where it is manufactured, in units of full-time-equivalent job years per gigawatt of manufactured WECs? This includes local manufacturing, logistics, engineering, design, management, and administrative jobs. This does not include jobs local to the installation site if some manufacturing is done locally to the WEC installation. </t>
  </si>
  <si>
    <t xml:space="preserve">How long will it take for the WEC device to repay its energy debt? Include energy for material production, manufacturing of components, procurement, construction, and decommissioning. </t>
  </si>
  <si>
    <t xml:space="preserve">The WEC should have minimal impact on the environment. Its cumulative energy production should quickly surpass the net energy it took to construct, transport, assemble, and deploy  the WEC and its balance of station. </t>
  </si>
  <si>
    <t xml:space="preserve">Are the WEC and its components recyclable? </t>
  </si>
  <si>
    <t>The WEC should be recyclable to minimize its environmental impact.</t>
  </si>
  <si>
    <t>The WEC should be designed to survive as long as possible to reduce the energy and materials needed to manufacture replacement systems.</t>
  </si>
  <si>
    <t xml:space="preserve">The WEC technology and design shall enable the construction of a project that meets all environmental regulations. </t>
  </si>
  <si>
    <t xml:space="preserve">C.5.1 Environmental Impacts </t>
  </si>
  <si>
    <t>C.5.1 Ecological Impacts</t>
  </si>
  <si>
    <t xml:space="preserve">The WEC technology and design shall enable the construction of a project that minimizes wildlife impacts.  </t>
  </si>
  <si>
    <t xml:space="preserve">Do any characteristics of the system restrict its application in environmentally sensitive locations? </t>
  </si>
  <si>
    <t xml:space="preserve">The WEC should be as easy to permit as possible; thus, the design should minimize environmental impacts and risks. </t>
  </si>
  <si>
    <t xml:space="preserve">Do any characteristics of the system produce an impact on wildlife that would restrict its application where threatened or protected species (e.g., whales and other marine mammals) exist? </t>
  </si>
  <si>
    <t xml:space="preserve">The WEC should be as easy to permit as possible; thus, the design should minimize ecological impacts and risks. </t>
  </si>
  <si>
    <t xml:space="preserve">Can the technology form a farm that can coexist with other potential users of the area  (e.g., fishing fleets, surfers, shipping boats, sailing boats)? </t>
  </si>
  <si>
    <t>When formed in an array, the WEC farm should not restrict area use other than local to the WEC. The WEC should not be a hazard to navigation or present a danger to other area users.</t>
  </si>
  <si>
    <t xml:space="preserve">Given the desired farm rated power and the expected footprint, what area will the farm occupy per rated farm power? 
Use the layout of a typical array and the dimensions from the outside of the outermost anchor to the outermost  anchor on the other side in both directions to calculate the footprint area. Use the rated power of the WEC devices times the number of devices for the denominator. </t>
  </si>
  <si>
    <t xml:space="preserve">The area used by the WEC array should be minimal for the power producing potential  to minimize conflict. </t>
  </si>
  <si>
    <t xml:space="preserve">The WEC power farm shall be safe at each stage of its life cycle. </t>
  </si>
  <si>
    <t>C.6.2 Survivable</t>
  </si>
  <si>
    <t xml:space="preserve">Major loss events may happen. The financial consequences (loss of revenues because of downtime, loss of assets, cost of repairs) shall be well understood and as low as possible. </t>
  </si>
  <si>
    <t>Has a safety philosophy been incorporated into the design process?
This may include adopting best practices and appropriate formal standards at the design stage, appointing a responsible person to take charge of safety, reviewing the design for safety early and designing out risks early, designing in mitigation for risks that cannot be eliminated, ensuring designers are suitably qualified and trained, and keeping appropriate records.</t>
  </si>
  <si>
    <t xml:space="preserve">Safety needs to be considered at the earliest stages of the WEC design to minimize risk to people, property, and the environment. Changes at higher technology readiness levels can be costly. </t>
  </si>
  <si>
    <t>Is there a threat to human health and safety during any life cycle stage? 
Consider all life stages, including design, manufacturing, assembly, lifting, transport, installation, operation, maintenance, removal, and decommissioning.</t>
  </si>
  <si>
    <t xml:space="preserve">The WEC must be safely accessible in all of the specified maintenance sea states. </t>
  </si>
  <si>
    <t>Does the design require personnel to enter an enclosed space at sea?</t>
  </si>
  <si>
    <t xml:space="preserve">Enclosed spaces at sea can be risky if they are not property designed for safe ingress and egress. If a space is tight, is not well ventilated, or has hazardous machinery, it can present a risk for injury or death. If maintenance activities require a person to enter, either in whole or part, the space should be safe for that person and allow a quick exit if needed. </t>
  </si>
  <si>
    <t xml:space="preserve">Does the design require personnel (e.g., divers) to work in or under the sea? </t>
  </si>
  <si>
    <t>Installation and maintenance activities should not require a person to enter the water. These should be able to be accomplished with remotely operated systems. Any time a person enters the water, there is a risk of injury or death.</t>
  </si>
  <si>
    <t xml:space="preserve">Lifting operations can be hazardous at sea if no provision is made for load control or if heavy items need to be transferred. </t>
  </si>
  <si>
    <t>C.6.1 Safety</t>
  </si>
  <si>
    <r>
      <rPr>
        <b/>
        <sz val="14"/>
        <color rgb="FF000000"/>
        <rFont val="Calibri"/>
        <family val="2"/>
        <scheme val="minor"/>
      </rPr>
      <t>C.6.2.1 Extreme Loads</t>
    </r>
    <r>
      <rPr>
        <sz val="14"/>
        <color indexed="8"/>
        <rFont val="Calibri"/>
        <family val="2"/>
        <scheme val="minor"/>
      </rPr>
      <t xml:space="preserve">
The WEC should be able to survive extreme loads/responses caused by extreme weather conditions or high-power operational conditions.</t>
    </r>
  </si>
  <si>
    <r>
      <rPr>
        <b/>
        <sz val="14"/>
        <color rgb="FF000000"/>
        <rFont val="Calibri"/>
        <family val="2"/>
        <scheme val="minor"/>
      </rPr>
      <t>C.6.2.2 Grid Failure</t>
    </r>
    <r>
      <rPr>
        <sz val="14"/>
        <color indexed="8"/>
        <rFont val="Calibri"/>
        <family val="2"/>
        <scheme val="minor"/>
      </rPr>
      <t xml:space="preserve">
The WEC should be able to cope with grid failure, grid loss, or grid interruption (black start capability) as well as a grid loss coupled with communication loss.</t>
    </r>
  </si>
  <si>
    <r>
      <rPr>
        <b/>
        <sz val="14"/>
        <color rgb="FF000000"/>
        <rFont val="Calibri"/>
        <family val="2"/>
        <scheme val="minor"/>
      </rPr>
      <t>C.6.2.3 Collisions</t>
    </r>
    <r>
      <rPr>
        <sz val="14"/>
        <color indexed="8"/>
        <rFont val="Calibri"/>
        <family val="2"/>
        <scheme val="minor"/>
      </rPr>
      <t xml:space="preserve">
The WEC should be able to avoid and survive collisions with ships, other marine users, and mammals.</t>
    </r>
  </si>
  <si>
    <t>How susceptible are the WEC device and station-keeping system to increasingly energetic conditions? How do they react (in terms of motions and loads) to highly energetic environments (i.e., large return period environments)?</t>
  </si>
  <si>
    <t xml:space="preserve">WECs must be designed to survive expected storm conditions. Does the WEC design consider relevant storm return periods and have a well-thought-out and realistic survival strategy? Only consider the device survivability and safety in this question. Costs are considered elsewhere. </t>
  </si>
  <si>
    <t xml:space="preserve">How well has the device been designed to survive and not sink? Does it include strategies such as separate internal chambers, flooding control, and reserve buoyancy? Ideally, for every thousand WECs deployed, only one would be lost every 10 years in design conditions.  
</t>
  </si>
  <si>
    <t xml:space="preserve">Are WEC subsystems at risk of damage by grid failure, grid loss, or grid interruption? </t>
  </si>
  <si>
    <t xml:space="preserve">The grid and connections to the grid can be subject to rapid events, such a disconnections. In the event of a sudden disconnection or other unexpected grid behavior, the WEC should not react in an adverse way that can cause damage to its components. </t>
  </si>
  <si>
    <t xml:space="preserve">When a loss-of-grid event happens, the WEC must be to able quickly, automatically, and safely transition to a safe state. </t>
  </si>
  <si>
    <t>Can the WEC operate without the grid, even in a reduced capacity, and power other WECs?</t>
  </si>
  <si>
    <r>
      <t>The WEC should be able to self-power and have sufficient energy reserve to maintain critical systems so it can maintain a safe state and be ready for operation when grid connection resumes</t>
    </r>
    <r>
      <rPr>
        <sz val="11"/>
        <rFont val="Calibri"/>
        <family val="2"/>
      </rPr>
      <t>—</t>
    </r>
    <r>
      <rPr>
        <sz val="11"/>
        <rFont val="Calibri"/>
        <family val="2"/>
        <scheme val="minor"/>
      </rPr>
      <t>even if the interruption is one or more months.</t>
    </r>
  </si>
  <si>
    <t>WEC devices that represent a hazard to navigation (i.e., are located at the surface or are submerged but can be hit by recreational boaters) must be readily detectible by area users. WECs must be able to support lighting. If their above-water structure is not sufficient for visual and radar identification in storms, other identification mechanisms such as radar reflectors, RACONs, AIS, and marker buoys. must be used for signaling to other users of the area.</t>
  </si>
  <si>
    <t>If a vessel collides with the WEC, the impacts of the collision should be minimized.</t>
  </si>
  <si>
    <r>
      <rPr>
        <b/>
        <sz val="14"/>
        <color rgb="FF000000"/>
        <rFont val="Calibri"/>
        <family val="2"/>
        <scheme val="minor"/>
      </rPr>
      <t>C.2.2.4 Temporary Conditions</t>
    </r>
    <r>
      <rPr>
        <sz val="14"/>
        <color indexed="8"/>
        <rFont val="Calibri"/>
        <family val="2"/>
        <scheme val="minor"/>
      </rPr>
      <t xml:space="preserve">
The WEC should be survivable in temporary conditions, including installation (and tow-out, if applicable) and maintenance.</t>
    </r>
  </si>
  <si>
    <t>If the WEC's configuration or orientation must be changed for activities such as tow-out, installation, and maintenance, has the WEC been designed so that other configurations and changes between configurations are as safe as the operating configuration?</t>
  </si>
  <si>
    <r>
      <rPr>
        <b/>
        <sz val="14"/>
        <color rgb="FF000000"/>
        <rFont val="Calibri"/>
        <family val="2"/>
        <scheme val="minor"/>
      </rPr>
      <t>C.2.2.5 Fatigue</t>
    </r>
    <r>
      <rPr>
        <sz val="14"/>
        <color indexed="8"/>
        <rFont val="Calibri"/>
        <family val="2"/>
        <scheme val="minor"/>
      </rPr>
      <t xml:space="preserve">
The WEC should have robust fatigue characteristics.</t>
    </r>
  </si>
  <si>
    <t xml:space="preserve">Are the WEC and its subsystems designed for the expected extreme loads, the operating loads for the lifetime of the system, and the  operational environment?  </t>
  </si>
  <si>
    <t>This question aims to assess the adequacy of the design methods and assumptions applied in developing the WEC. Keep in mind that this is a low-technology-readiness-level evaluation.</t>
  </si>
  <si>
    <r>
      <rPr>
        <b/>
        <sz val="14"/>
        <color rgb="FF000000"/>
        <rFont val="Calibri"/>
        <family val="2"/>
        <scheme val="minor"/>
      </rPr>
      <t>C.2.2.6 Configuration</t>
    </r>
    <r>
      <rPr>
        <sz val="14"/>
        <color indexed="8"/>
        <rFont val="Calibri"/>
        <family val="2"/>
        <scheme val="minor"/>
      </rPr>
      <t xml:space="preserve">
The WEC should have robust configuration changes.</t>
    </r>
  </si>
  <si>
    <t xml:space="preserve">Does the device need multiple configurations to limit stress in high-energy situations, to increase energy capture, or for another reason? If so, how complex (risky or slow) is the transformation? 
A change in depth is a simple change. Even so, it should be evaluated for reliable or fail-safe operation. A change in orientation (e.g., vertical to horizontal) of the WEC or a major part of the WEC is complex and requires careful evaluation of risk. </t>
  </si>
  <si>
    <r>
      <t>If a device uses configuration change</t>
    </r>
    <r>
      <rPr>
        <sz val="11"/>
        <color theme="1"/>
        <rFont val="Calibri"/>
        <family val="2"/>
      </rPr>
      <t>—</t>
    </r>
    <r>
      <rPr>
        <sz val="11"/>
        <color theme="1"/>
        <rFont val="Calibri"/>
        <family val="2"/>
        <scheme val="minor"/>
      </rPr>
      <t>such as a change in geometry, depth, or orientation or another physical change to increase energy production, reduce load, or minimize storm load</t>
    </r>
    <r>
      <rPr>
        <sz val="11"/>
        <color theme="1"/>
        <rFont val="Calibri"/>
        <family val="2"/>
      </rPr>
      <t>—</t>
    </r>
    <r>
      <rPr>
        <sz val="11"/>
        <color theme="1"/>
        <rFont val="Calibri"/>
        <family val="2"/>
        <scheme val="minor"/>
      </rPr>
      <t xml:space="preserve">those changes need to be done reliably over the lifetime of the WEC. Complex configuration changes that require many actuators should be avoided because of decreased reliability. Also, in the event of a failure of an actuator, the WEC should fail to a safe configuration.  </t>
    </r>
  </si>
  <si>
    <t>C.7.1 Deployment</t>
  </si>
  <si>
    <t>What is the water depth required to deploy the WEC farm?</t>
  </si>
  <si>
    <t xml:space="preserve">The WEC technology should be deployable in a range of water depths to maximize utility and minimize site limitations. Technologies that only allow onshore installations should be avoided because they have very limited opportunities. </t>
  </si>
  <si>
    <t xml:space="preserve">Bottom types can vary between wave sites and even within a wave site. The bottom type required to support the WEC should be as flexible as possible and should consider different bottom types, bottom slopes, etc. </t>
  </si>
  <si>
    <r>
      <rPr>
        <sz val="12"/>
        <rFont val="Times New Roman"/>
        <family val="1"/>
      </rPr>
      <t>What is the minimum feasi</t>
    </r>
    <r>
      <rPr>
        <sz val="12"/>
        <color theme="1"/>
        <rFont val="Times New Roman"/>
        <family val="1"/>
      </rPr>
      <t>ble wave resource for attractive levelized cost of energy?</t>
    </r>
  </si>
  <si>
    <t xml:space="preserve">The WEC should be economically viable in a range of wave resources so it can be used at the maximum number of sites. </t>
  </si>
  <si>
    <t xml:space="preserve">Tides are common at many wave sites, so the WEC should be minimally limited by tidal ranges so it can be used at the maximum number of sites. </t>
  </si>
  <si>
    <t>What is the sensitivity to current?</t>
  </si>
  <si>
    <t xml:space="preserve">Currents are common at many wave sites, so the WEC should be minimally limited by currents so it can be used at the maximum number of sites. </t>
  </si>
  <si>
    <t>Do any characteristics of the system restrict its application in environmentally sensitive locations (e.g., endangered and threatened species, migratory routes, large shifts in sediments, noise emissions, other emissions)?</t>
  </si>
  <si>
    <t xml:space="preserve">The WEC should minimally impact the environment and ecology so it can be used at the maximum number of sites. </t>
  </si>
  <si>
    <t xml:space="preserve">Can manufacturing, construction, assembly, and installation capabilities and infrastructure be found or easily developed at many coastal locations, as needed, to develop a farm? </t>
  </si>
  <si>
    <r>
      <t>Capabilities need for farm development</t>
    </r>
    <r>
      <rPr>
        <sz val="11"/>
        <color theme="1"/>
        <rFont val="Calibri"/>
        <family val="2"/>
      </rPr>
      <t>—</t>
    </r>
    <r>
      <rPr>
        <sz val="11"/>
        <color theme="1"/>
        <rFont val="Calibri"/>
        <family val="2"/>
        <scheme val="minor"/>
      </rPr>
      <t>such as manufacturing, construction, assembly, and installation</t>
    </r>
    <r>
      <rPr>
        <sz val="11"/>
        <color theme="1"/>
        <rFont val="Calibri"/>
        <family val="2"/>
      </rPr>
      <t>—</t>
    </r>
    <r>
      <rPr>
        <sz val="11"/>
        <color theme="1"/>
        <rFont val="Calibri"/>
        <family val="2"/>
        <scheme val="minor"/>
      </rPr>
      <t xml:space="preserve">should be readily available or straightforward to establish at coastal locations to maximize deployment locations. </t>
    </r>
  </si>
  <si>
    <t>What is the theoretical global wave energy capacity that is suitable for capture by the WEC farm (i.e., the estimated global size of the resource that can be exploited by the WEC farm taking into account physical site conditions, manufacture and installation logistics, and port infrastructure)?</t>
  </si>
  <si>
    <t>The theoretical maximum wave energy extraction that can be achieved by the WEC should be sufficient to justify mass-manufacturing levels needed to achieve scales of economy. If the WEC is only economic at a small number of sites, its viability is limited, and it will have very limited market potential.</t>
  </si>
  <si>
    <t>Lifecycle Readiness</t>
  </si>
  <si>
    <t xml:space="preserve">Concept sketch with annotations and device description
Uses of the technology identified
</t>
  </si>
  <si>
    <r>
      <rPr>
        <b/>
        <sz val="11"/>
        <color theme="1"/>
        <rFont val="Calibri"/>
        <family val="2"/>
        <scheme val="minor"/>
      </rPr>
      <t>Basic principles observed and reported</t>
    </r>
    <r>
      <rPr>
        <sz val="11"/>
        <color theme="1"/>
        <rFont val="Calibri"/>
        <family val="2"/>
        <scheme val="minor"/>
      </rPr>
      <t xml:space="preserve">
</t>
    </r>
    <r>
      <rPr>
        <b/>
        <sz val="11"/>
        <color theme="1"/>
        <rFont val="Calibri"/>
        <family val="2"/>
        <scheme val="minor"/>
      </rPr>
      <t xml:space="preserve">
System Definition:
</t>
    </r>
    <r>
      <rPr>
        <sz val="11"/>
        <color theme="1"/>
        <rFont val="Calibri"/>
        <family val="2"/>
        <scheme val="minor"/>
      </rPr>
      <t xml:space="preserve">
• Oscillator(s) with wav- absorbing hydrodynamic interface identified
• Oscillator(s) with acceptable / controllable mechanical  impedance identified
• Reacting bodies / PTO opportunity identified
• Relevant physical processes identified
• Station-keeping/foundation opportunity identified
</t>
    </r>
  </si>
  <si>
    <t>Reliability</t>
  </si>
  <si>
    <r>
      <t>This question is repeated from the OpEx section. Offshore maintenance of WECs is often limited by weather. If it can only be done in a narrow weather window</t>
    </r>
    <r>
      <rPr>
        <sz val="11"/>
        <color theme="1"/>
        <rFont val="Calibri"/>
        <family val="2"/>
      </rPr>
      <t>—</t>
    </r>
    <r>
      <rPr>
        <sz val="11"/>
        <color theme="1"/>
        <rFont val="Calibri"/>
        <family val="2"/>
        <scheme val="minor"/>
      </rPr>
      <t>even if the task is quick or requires minimal support</t>
    </r>
    <r>
      <rPr>
        <sz val="11"/>
        <color theme="1"/>
        <rFont val="Calibri"/>
        <family val="2"/>
      </rPr>
      <t>—</t>
    </r>
    <r>
      <rPr>
        <sz val="11"/>
        <color theme="1"/>
        <rFont val="Calibri"/>
        <family val="2"/>
        <scheme val="minor"/>
      </rPr>
      <t>delays can quickly mount, rendering the WEC inoperable for long periods of time. 
Downtime can be significantly reduced if sea state limitations for maintenance can be reduced. In terms of availability, how will access to the WEC for maintenance improve or reduce availability?</t>
    </r>
  </si>
  <si>
    <t xml:space="preserve">For each part of the power collection system, what is the target ratio of peak to mean power? Are peak power surges smoothed within the WEC device, or is the power collection system required to handle the peak values? 
In this question, peak power is instantaneous power during the wave cycle, and mean power is the average power. The manufacturer must provide a power matrix and specify two wave spectrums that were used to calculate annual energy and then mean power for each spectrum. The wave spectrums must have an average of 15 kW/m and 30 kW/m energy and be representative of actual resource distributions in the real world. </t>
  </si>
  <si>
    <t>This question is repeated from the Cost of Energy section but here focuses on the impact of OpEx uncertainty. The WEC should use proven or low-risk technologies to maximize availability. Are the identified failure modes and frequency of failures adequately assessed, and is there a good degree of certainty that major failure modes have not been missed? This question should assess the uncertainty and the potential impact those of uncertainties on OpEx.</t>
  </si>
  <si>
    <r>
      <rPr>
        <sz val="12"/>
        <color rgb="FF00B050"/>
        <rFont val="Times New Roman"/>
        <family val="1"/>
      </rPr>
      <t xml:space="preserve">High: </t>
    </r>
    <r>
      <rPr>
        <sz val="12"/>
        <color theme="1"/>
        <rFont val="Times New Roman"/>
        <family val="1"/>
      </rPr>
      <t xml:space="preserve">All WEC subsystems and their components have safety margins for extreme load and motion conditions, have fatigue lives expected to exceed system life, and are designed and approved for the environment they operate in. Loads and conditions are well characterized. 
</t>
    </r>
    <r>
      <rPr>
        <sz val="12"/>
        <color rgb="FFFFC000"/>
        <rFont val="Times New Roman"/>
        <family val="1"/>
      </rPr>
      <t>Med:</t>
    </r>
    <r>
      <rPr>
        <sz val="12"/>
        <color theme="1"/>
        <rFont val="Times New Roman"/>
        <family val="1"/>
      </rPr>
      <t xml:space="preserve"> Same as high except the loads and conditions are not as well characterized or some uncertainty exists within the structural reliability modeling. Components and subsystems are designed with easy access for replacement. 
</t>
    </r>
    <r>
      <rPr>
        <sz val="12"/>
        <color rgb="FFFF0000"/>
        <rFont val="Times New Roman"/>
        <family val="1"/>
      </rPr>
      <t xml:space="preserve">Low: </t>
    </r>
    <r>
      <rPr>
        <sz val="12"/>
        <color theme="1"/>
        <rFont val="Times New Roman"/>
        <family val="1"/>
      </rPr>
      <t xml:space="preserve">Some components are expected to fail in extreme load conditions or during the life of the system, or loads and motions are not well known. </t>
    </r>
  </si>
  <si>
    <r>
      <rPr>
        <sz val="12"/>
        <color rgb="FF00B050"/>
        <rFont val="Times New Roman"/>
        <family val="1"/>
      </rPr>
      <t xml:space="preserve">High: </t>
    </r>
    <r>
      <rPr>
        <sz val="12"/>
        <color theme="1"/>
        <rFont val="Times New Roman"/>
        <family val="1"/>
      </rPr>
      <t xml:space="preserve">The cost estimate for the WEC is approximately $1,000 k/MW.  
</t>
    </r>
    <r>
      <rPr>
        <sz val="12"/>
        <color rgb="FFFFC000"/>
        <rFont val="Times New Roman"/>
        <family val="1"/>
      </rPr>
      <t xml:space="preserve">
Med:</t>
    </r>
    <r>
      <rPr>
        <sz val="12"/>
        <color theme="1"/>
        <rFont val="Times New Roman"/>
        <family val="1"/>
      </rPr>
      <t xml:space="preserve"> The cost estimate for the WEC is approximately $2,000 k/MW.
</t>
    </r>
    <r>
      <rPr>
        <sz val="12"/>
        <color rgb="FFFF0000"/>
        <rFont val="Times New Roman"/>
        <family val="1"/>
      </rPr>
      <t xml:space="preserve">
Low: </t>
    </r>
    <r>
      <rPr>
        <sz val="12"/>
        <color theme="1"/>
        <rFont val="Times New Roman"/>
        <family val="1"/>
      </rPr>
      <t xml:space="preserve">The cost estimate for the WEC is approximately $4,000 k/MW. </t>
    </r>
  </si>
  <si>
    <r>
      <rPr>
        <sz val="12"/>
        <color rgb="FF00B050"/>
        <rFont val="Times New Roman"/>
        <family val="1"/>
      </rPr>
      <t>High:</t>
    </r>
    <r>
      <rPr>
        <b/>
        <sz val="12"/>
        <color rgb="FF00B050"/>
        <rFont val="Times New Roman"/>
        <family val="1"/>
      </rPr>
      <t xml:space="preserve"> </t>
    </r>
    <r>
      <rPr>
        <sz val="12"/>
        <rFont val="Times New Roman"/>
        <family val="1"/>
      </rPr>
      <t>All components are commercially available off the shelf or can be easily mass-manufactured using existing supply chains or fabrication techniques.</t>
    </r>
    <r>
      <rPr>
        <b/>
        <sz val="12"/>
        <color rgb="FF00B050"/>
        <rFont val="Times New Roman"/>
        <family val="1"/>
      </rPr>
      <t xml:space="preserve"> </t>
    </r>
    <r>
      <rPr>
        <sz val="12"/>
        <color theme="1"/>
        <rFont val="Times New Roman"/>
        <family val="1"/>
      </rPr>
      <t xml:space="preserve">
</t>
    </r>
    <r>
      <rPr>
        <sz val="12"/>
        <color rgb="FFFFC000"/>
        <rFont val="Times New Roman"/>
        <family val="1"/>
      </rPr>
      <t xml:space="preserve">
Med:</t>
    </r>
    <r>
      <rPr>
        <sz val="12"/>
        <color theme="1"/>
        <rFont val="Times New Roman"/>
        <family val="1"/>
      </rPr>
      <t xml:space="preserve"> Less than 20% of the value is components that require specialty materials, manufacturing equipment, or techniques. 
</t>
    </r>
    <r>
      <rPr>
        <sz val="12"/>
        <color rgb="FFFF0000"/>
        <rFont val="Times New Roman"/>
        <family val="1"/>
      </rPr>
      <t xml:space="preserve">
Low: </t>
    </r>
    <r>
      <rPr>
        <sz val="12"/>
        <rFont val="Times New Roman"/>
        <family val="1"/>
      </rPr>
      <t xml:space="preserve">More than 20% of the value is components that require specialty materials, manufacturing equipment, or techniques. </t>
    </r>
    <r>
      <rPr>
        <sz val="12"/>
        <color theme="1"/>
        <rFont val="Times New Roman"/>
        <family val="1"/>
      </rPr>
      <t xml:space="preserve">  </t>
    </r>
  </si>
  <si>
    <r>
      <rPr>
        <sz val="12"/>
        <color rgb="FF00B050"/>
        <rFont val="Times New Roman"/>
        <family val="1"/>
      </rPr>
      <t>High:</t>
    </r>
    <r>
      <rPr>
        <b/>
        <sz val="12"/>
        <color rgb="FF00B050"/>
        <rFont val="Times New Roman"/>
        <family val="1"/>
      </rPr>
      <t xml:space="preserve"> </t>
    </r>
    <r>
      <rPr>
        <sz val="12"/>
        <color theme="1"/>
        <rFont val="Times New Roman"/>
        <family val="1"/>
      </rPr>
      <t>The structure will not experience large structural loads during extreme events because of design or a mitigation strategy such as submergence.</t>
    </r>
    <r>
      <rPr>
        <sz val="12"/>
        <rFont val="Times New Roman"/>
        <family val="1"/>
      </rPr>
      <t xml:space="preserve"> Mitigation or design will keep extreme loads under 120% of maximum operating loads. </t>
    </r>
    <r>
      <rPr>
        <sz val="12"/>
        <color theme="1"/>
        <rFont val="Times New Roman"/>
        <family val="1"/>
      </rPr>
      <t xml:space="preserve">
</t>
    </r>
    <r>
      <rPr>
        <sz val="12"/>
        <color rgb="FFFFC000"/>
        <rFont val="Times New Roman"/>
        <family val="1"/>
      </rPr>
      <t xml:space="preserve">
Med:</t>
    </r>
    <r>
      <rPr>
        <sz val="12"/>
        <color theme="1"/>
        <rFont val="Times New Roman"/>
        <family val="1"/>
      </rPr>
      <t xml:space="preserve"> The structure will experience some high loading because of extreme events such as breaking waves but has a mitigation strategy to limit the loads or the shape is designed to minimize these loads.</t>
    </r>
    <r>
      <rPr>
        <sz val="12"/>
        <rFont val="Times New Roman"/>
        <family val="1"/>
      </rPr>
      <t xml:space="preserve"> Extreme loads do not exceed 160% of maximum operating loads.</t>
    </r>
    <r>
      <rPr>
        <sz val="12"/>
        <color rgb="FFFF0000"/>
        <rFont val="Times New Roman"/>
        <family val="1"/>
      </rPr>
      <t xml:space="preserve"> </t>
    </r>
    <r>
      <rPr>
        <sz val="12"/>
        <color theme="1"/>
        <rFont val="Times New Roman"/>
        <family val="1"/>
      </rPr>
      <t xml:space="preserve">
</t>
    </r>
    <r>
      <rPr>
        <sz val="12"/>
        <color rgb="FFFF0000"/>
        <rFont val="Times New Roman"/>
        <family val="1"/>
      </rPr>
      <t xml:space="preserve">
Low: </t>
    </r>
    <r>
      <rPr>
        <sz val="12"/>
        <color theme="1"/>
        <rFont val="Times New Roman"/>
        <family val="1"/>
      </rPr>
      <t xml:space="preserve">The device will experience large structural loads and does not have a mitigation strategy to avoid those loads other than through direct structural resistance. </t>
    </r>
  </si>
  <si>
    <r>
      <rPr>
        <sz val="12"/>
        <color rgb="FF00B050"/>
        <rFont val="Times New Roman"/>
        <family val="1"/>
      </rPr>
      <t>High:</t>
    </r>
    <r>
      <rPr>
        <b/>
        <sz val="12"/>
        <color rgb="FF00B050"/>
        <rFont val="Times New Roman"/>
        <family val="1"/>
      </rPr>
      <t xml:space="preserve"> </t>
    </r>
    <r>
      <rPr>
        <sz val="12"/>
        <rFont val="Times New Roman"/>
        <family val="1"/>
      </rPr>
      <t>No configuration change is needed, or the cost of additional equipment, less income from additional energy production, reduces the cost of the WEC from its static configuration.</t>
    </r>
    <r>
      <rPr>
        <b/>
        <sz val="12"/>
        <color rgb="FF00B050"/>
        <rFont val="Times New Roman"/>
        <family val="1"/>
      </rPr>
      <t xml:space="preserve"> </t>
    </r>
    <r>
      <rPr>
        <sz val="12"/>
        <color theme="1"/>
        <rFont val="Times New Roman"/>
        <family val="1"/>
      </rPr>
      <t xml:space="preserve">
</t>
    </r>
    <r>
      <rPr>
        <sz val="12"/>
        <color rgb="FFFFC000"/>
        <rFont val="Times New Roman"/>
        <family val="1"/>
      </rPr>
      <t xml:space="preserve">
Med:</t>
    </r>
    <r>
      <rPr>
        <sz val="12"/>
        <color theme="1"/>
        <rFont val="Times New Roman"/>
        <family val="1"/>
      </rPr>
      <t xml:space="preserve"> The additional cost, less income from additional energy production, adds less than 10% to CapEx.
</t>
    </r>
    <r>
      <rPr>
        <sz val="12"/>
        <color rgb="FFFF0000"/>
        <rFont val="Times New Roman"/>
        <family val="1"/>
      </rPr>
      <t xml:space="preserve">
Low: </t>
    </r>
    <r>
      <rPr>
        <sz val="12"/>
        <color theme="1"/>
        <rFont val="Times New Roman"/>
        <family val="1"/>
      </rPr>
      <t>The additional cost, less income from additional energy production, adds more than 10% to CapEx.</t>
    </r>
  </si>
  <si>
    <r>
      <rPr>
        <sz val="12"/>
        <color rgb="FF00B050"/>
        <rFont val="Times New Roman"/>
        <family val="1"/>
      </rPr>
      <t xml:space="preserve">High: </t>
    </r>
    <r>
      <rPr>
        <sz val="12"/>
        <rFont val="Times New Roman"/>
        <family val="1"/>
      </rPr>
      <t>All components are commercially available off the shelf or can be easily mass-manufactured using existing supply chains or fabrication techniques.</t>
    </r>
    <r>
      <rPr>
        <b/>
        <sz val="12"/>
        <color rgb="FF00B050"/>
        <rFont val="Times New Roman"/>
        <family val="1"/>
      </rPr>
      <t xml:space="preserve"> 
</t>
    </r>
    <r>
      <rPr>
        <sz val="12"/>
        <color theme="1"/>
        <rFont val="Times New Roman"/>
        <family val="1"/>
      </rPr>
      <t xml:space="preserve">
</t>
    </r>
    <r>
      <rPr>
        <sz val="12"/>
        <color rgb="FFFFC000"/>
        <rFont val="Times New Roman"/>
        <family val="1"/>
      </rPr>
      <t>Med:</t>
    </r>
    <r>
      <rPr>
        <sz val="12"/>
        <color theme="1"/>
        <rFont val="Times New Roman"/>
        <family val="1"/>
      </rPr>
      <t xml:space="preserve"> Less than 20% of the value is components that require specialty materials, manufacturing equipment, or techniques. 
</t>
    </r>
    <r>
      <rPr>
        <sz val="12"/>
        <color rgb="FFFF0000"/>
        <rFont val="Times New Roman"/>
        <family val="1"/>
      </rPr>
      <t xml:space="preserve">
Low: </t>
    </r>
    <r>
      <rPr>
        <sz val="12"/>
        <rFont val="Times New Roman"/>
        <family val="1"/>
      </rPr>
      <t xml:space="preserve">More than 20% of the value is components that require specialty materials, manufacturing equipment, or techniques. </t>
    </r>
    <r>
      <rPr>
        <sz val="12"/>
        <color theme="1"/>
        <rFont val="Times New Roman"/>
        <family val="1"/>
      </rPr>
      <t xml:space="preserve">  </t>
    </r>
  </si>
  <si>
    <r>
      <rPr>
        <sz val="12"/>
        <color rgb="FF00B050"/>
        <rFont val="Times New Roman"/>
        <family val="1"/>
      </rPr>
      <t xml:space="preserve">High: </t>
    </r>
    <r>
      <rPr>
        <sz val="12"/>
        <rFont val="Times New Roman"/>
        <family val="1"/>
      </rPr>
      <t>Ratio is be</t>
    </r>
    <r>
      <rPr>
        <sz val="12"/>
        <color theme="1"/>
        <rFont val="Times New Roman"/>
        <family val="1"/>
      </rPr>
      <t xml:space="preserve">low 5.0, and only one component is required to be oversized at or near this ratio relative to the mean power.  
</t>
    </r>
    <r>
      <rPr>
        <sz val="12"/>
        <color rgb="FFFFC000"/>
        <rFont val="Times New Roman"/>
        <family val="1"/>
      </rPr>
      <t xml:space="preserve">
Med:</t>
    </r>
    <r>
      <rPr>
        <sz val="12"/>
        <color theme="1"/>
        <rFont val="Times New Roman"/>
        <family val="1"/>
      </rPr>
      <t xml:space="preserve"> </t>
    </r>
    <r>
      <rPr>
        <sz val="12"/>
        <rFont val="Times New Roman"/>
        <family val="1"/>
      </rPr>
      <t>Ratio is between 5.0</t>
    </r>
    <r>
      <rPr>
        <sz val="12"/>
        <color theme="1"/>
        <rFont val="Times New Roman"/>
        <family val="1"/>
      </rPr>
      <t xml:space="preserve"> and 10.0, and several components are required to be oversized at or near this ratio relative to the mean power. 
</t>
    </r>
    <r>
      <rPr>
        <sz val="12"/>
        <color rgb="FFFF0000"/>
        <rFont val="Times New Roman"/>
        <family val="1"/>
      </rPr>
      <t xml:space="preserve">
Low: </t>
    </r>
    <r>
      <rPr>
        <sz val="12"/>
        <rFont val="Times New Roman"/>
        <family val="1"/>
      </rPr>
      <t xml:space="preserve">Ratio is </t>
    </r>
    <r>
      <rPr>
        <sz val="12"/>
        <color theme="1"/>
        <rFont val="Times New Roman"/>
        <family val="1"/>
      </rPr>
      <t xml:space="preserve">higher than 10.0, and the entire drivetrain needs to be oversized at or near this ratio relative to the mean power. </t>
    </r>
  </si>
  <si>
    <r>
      <rPr>
        <sz val="12"/>
        <color rgb="FF00B050"/>
        <rFont val="Times New Roman"/>
        <family val="1"/>
      </rPr>
      <t xml:space="preserve">High: </t>
    </r>
    <r>
      <rPr>
        <sz val="12"/>
        <rFont val="Times New Roman"/>
        <family val="1"/>
      </rPr>
      <t>Two or less, with a net efficiency of at least 90%.</t>
    </r>
    <r>
      <rPr>
        <sz val="12"/>
        <color theme="1"/>
        <rFont val="Times New Roman"/>
        <family val="1"/>
      </rPr>
      <t xml:space="preserve">
</t>
    </r>
    <r>
      <rPr>
        <sz val="12"/>
        <color rgb="FFFFC000"/>
        <rFont val="Times New Roman"/>
        <family val="1"/>
      </rPr>
      <t xml:space="preserve">
Med:</t>
    </r>
    <r>
      <rPr>
        <sz val="12"/>
        <color theme="1"/>
        <rFont val="Times New Roman"/>
        <family val="1"/>
      </rPr>
      <t xml:space="preserve"> Three to four, with a net efficiency of 80%</t>
    </r>
    <r>
      <rPr>
        <sz val="12"/>
        <color theme="1"/>
        <rFont val="Calibri"/>
        <family val="2"/>
      </rPr>
      <t>–</t>
    </r>
    <r>
      <rPr>
        <sz val="12"/>
        <color theme="1"/>
        <rFont val="Times New Roman"/>
        <family val="1"/>
      </rPr>
      <t xml:space="preserve">90%.
</t>
    </r>
    <r>
      <rPr>
        <sz val="12"/>
        <color rgb="FFFF0000"/>
        <rFont val="Times New Roman"/>
        <family val="1"/>
      </rPr>
      <t xml:space="preserve">
Low: </t>
    </r>
    <r>
      <rPr>
        <sz val="12"/>
        <rFont val="Times New Roman"/>
        <family val="1"/>
      </rPr>
      <t>M</t>
    </r>
    <r>
      <rPr>
        <sz val="12"/>
        <color theme="1"/>
        <rFont val="Times New Roman"/>
        <family val="1"/>
      </rPr>
      <t>ore than four, with a net efficiency of less than 80%.</t>
    </r>
  </si>
  <si>
    <r>
      <rPr>
        <sz val="12"/>
        <color rgb="FF00B050"/>
        <rFont val="Times New Roman"/>
        <family val="1"/>
      </rPr>
      <t>High:</t>
    </r>
    <r>
      <rPr>
        <b/>
        <sz val="12"/>
        <color rgb="FF00B050"/>
        <rFont val="Times New Roman"/>
        <family val="1"/>
      </rPr>
      <t xml:space="preserve"> </t>
    </r>
    <r>
      <rPr>
        <sz val="12"/>
        <rFont val="Times New Roman"/>
        <family val="1"/>
      </rPr>
      <t xml:space="preserve">The cost estimate for the WEC is approximately $100,000/MW.
</t>
    </r>
    <r>
      <rPr>
        <sz val="12"/>
        <color rgb="FFFFC000"/>
        <rFont val="Times New Roman"/>
        <family val="1"/>
      </rPr>
      <t xml:space="preserve">
Med:</t>
    </r>
    <r>
      <rPr>
        <sz val="12"/>
        <rFont val="Times New Roman"/>
        <family val="1"/>
      </rPr>
      <t xml:space="preserve"> The cost estimate for the WEC is approximately $250,000/MW.
</t>
    </r>
    <r>
      <rPr>
        <sz val="12"/>
        <color rgb="FFFF0000"/>
        <rFont val="Times New Roman"/>
        <family val="1"/>
      </rPr>
      <t xml:space="preserve">
Low:</t>
    </r>
    <r>
      <rPr>
        <sz val="12"/>
        <rFont val="Times New Roman"/>
        <family val="1"/>
      </rPr>
      <t xml:space="preserve"> The cost estimate for the WEC is approximately $500,000/MW.</t>
    </r>
  </si>
  <si>
    <r>
      <t xml:space="preserve">High: </t>
    </r>
    <r>
      <rPr>
        <sz val="12"/>
        <rFont val="Times New Roman"/>
        <family val="1"/>
      </rPr>
      <t xml:space="preserve">w/L &lt;0.2 (includes devices with rigid attachment to bottom) 
</t>
    </r>
    <r>
      <rPr>
        <sz val="12"/>
        <color rgb="FFFFC000"/>
        <rFont val="Times New Roman"/>
        <family val="1"/>
      </rPr>
      <t>Med:</t>
    </r>
    <r>
      <rPr>
        <sz val="12"/>
        <rFont val="Times New Roman"/>
        <family val="1"/>
      </rPr>
      <t xml:space="preserve"> 0.3 &lt;w/L &lt;0.8 
</t>
    </r>
    <r>
      <rPr>
        <sz val="12"/>
        <color rgb="FFFF0000"/>
        <rFont val="Times New Roman"/>
        <family val="1"/>
      </rPr>
      <t>Low:</t>
    </r>
    <r>
      <rPr>
        <sz val="12"/>
        <rFont val="Times New Roman"/>
        <family val="1"/>
      </rPr>
      <t xml:space="preserve"> Any mooring concept with w/L &gt;1</t>
    </r>
  </si>
  <si>
    <r>
      <rPr>
        <sz val="12"/>
        <color rgb="FF00B050"/>
        <rFont val="Times New Roman"/>
        <family val="1"/>
      </rPr>
      <t>High:</t>
    </r>
    <r>
      <rPr>
        <b/>
        <sz val="12"/>
        <color rgb="FF00B050"/>
        <rFont val="Times New Roman"/>
        <family val="1"/>
      </rPr>
      <t xml:space="preserve"> </t>
    </r>
    <r>
      <rPr>
        <sz val="12"/>
        <rFont val="Times New Roman"/>
        <family val="1"/>
      </rPr>
      <t>The station-keeping system uses conventional low-cost mooring equipment or other components that are readily available at low cost. The expected station-keeping cost will be less than 10% of CapEx. The layout of the station-keeping system is relatively simple and easy to build.</t>
    </r>
    <r>
      <rPr>
        <sz val="12"/>
        <color theme="1"/>
        <rFont val="Times New Roman"/>
        <family val="1"/>
      </rPr>
      <t xml:space="preserve">
</t>
    </r>
    <r>
      <rPr>
        <sz val="12"/>
        <color rgb="FFFFC000"/>
        <rFont val="Times New Roman"/>
        <family val="1"/>
      </rPr>
      <t xml:space="preserve">
Med:</t>
    </r>
    <r>
      <rPr>
        <sz val="12"/>
        <color theme="1"/>
        <rFont val="Times New Roman"/>
        <family val="1"/>
      </rPr>
      <t xml:space="preserve"> The station-keeping system uses one or more components that can be considered high-cost for moorings. </t>
    </r>
    <r>
      <rPr>
        <sz val="12"/>
        <rFont val="Times New Roman"/>
        <family val="1"/>
      </rPr>
      <t>The expected station-keeping cost will</t>
    </r>
    <r>
      <rPr>
        <sz val="12"/>
        <color rgb="FFFF0000"/>
        <rFont val="Times New Roman"/>
        <family val="1"/>
      </rPr>
      <t xml:space="preserve"> </t>
    </r>
    <r>
      <rPr>
        <sz val="12"/>
        <color theme="1"/>
        <rFont val="Times New Roman"/>
        <family val="1"/>
      </rPr>
      <t xml:space="preserve">be less than 20% of CapEx. 
</t>
    </r>
    <r>
      <rPr>
        <sz val="12"/>
        <color rgb="FFFF0000"/>
        <rFont val="Times New Roman"/>
        <family val="1"/>
      </rPr>
      <t xml:space="preserve">
Low: </t>
    </r>
    <r>
      <rPr>
        <sz val="12"/>
        <color theme="1"/>
        <rFont val="Times New Roman"/>
        <family val="1"/>
      </rPr>
      <t>The expected mooring system would account for more that 25% of CapEx.</t>
    </r>
  </si>
  <si>
    <r>
      <rPr>
        <sz val="12"/>
        <color rgb="FF00B050"/>
        <rFont val="Times New Roman"/>
        <family val="1"/>
      </rPr>
      <t>High:</t>
    </r>
    <r>
      <rPr>
        <b/>
        <sz val="12"/>
        <color rgb="FF00B050"/>
        <rFont val="Times New Roman"/>
        <family val="1"/>
      </rPr>
      <t xml:space="preserve"> </t>
    </r>
    <r>
      <rPr>
        <sz val="12"/>
        <rFont val="Times New Roman"/>
        <family val="1"/>
      </rPr>
      <t>The cost of the mooring system scales less than linearly with depth.</t>
    </r>
    <r>
      <rPr>
        <sz val="12"/>
        <color theme="1"/>
        <rFont val="Times New Roman"/>
        <family val="1"/>
      </rPr>
      <t xml:space="preserve">
</t>
    </r>
    <r>
      <rPr>
        <sz val="12"/>
        <color rgb="FFFFC000"/>
        <rFont val="Times New Roman"/>
        <family val="1"/>
      </rPr>
      <t xml:space="preserve">
Med:</t>
    </r>
    <r>
      <rPr>
        <sz val="12"/>
        <color theme="1"/>
        <rFont val="Times New Roman"/>
        <family val="1"/>
      </rPr>
      <t xml:space="preserve"> The cost of the mooring system scales linearly with depth. 
</t>
    </r>
    <r>
      <rPr>
        <sz val="12"/>
        <color rgb="FFFF0000"/>
        <rFont val="Times New Roman"/>
        <family val="1"/>
      </rPr>
      <t xml:space="preserve">Low: </t>
    </r>
    <r>
      <rPr>
        <sz val="12"/>
        <color theme="1"/>
        <rFont val="Times New Roman"/>
        <family val="1"/>
      </rPr>
      <t>The cost of the mooring system increases rapidly with depth, greater than a linear trend.</t>
    </r>
  </si>
  <si>
    <r>
      <rPr>
        <sz val="12"/>
        <color rgb="FF00B050"/>
        <rFont val="Times New Roman"/>
        <family val="1"/>
      </rPr>
      <t>High:</t>
    </r>
    <r>
      <rPr>
        <b/>
        <sz val="12"/>
        <color rgb="FF00B050"/>
        <rFont val="Times New Roman"/>
        <family val="1"/>
      </rPr>
      <t xml:space="preserve"> </t>
    </r>
    <r>
      <rPr>
        <sz val="12"/>
        <rFont val="Times New Roman"/>
        <family val="1"/>
      </rPr>
      <t>No control is used, or the CapEx of the actuators and sensors adds less than 5% to net Capex.</t>
    </r>
    <r>
      <rPr>
        <b/>
        <sz val="12"/>
        <color rgb="FF00B050"/>
        <rFont val="Times New Roman"/>
        <family val="1"/>
      </rPr>
      <t xml:space="preserve"> </t>
    </r>
    <r>
      <rPr>
        <sz val="12"/>
        <color theme="1"/>
        <rFont val="Times New Roman"/>
        <family val="1"/>
      </rPr>
      <t xml:space="preserve">
</t>
    </r>
    <r>
      <rPr>
        <sz val="12"/>
        <color rgb="FFFFC000"/>
        <rFont val="Times New Roman"/>
        <family val="1"/>
      </rPr>
      <t xml:space="preserve">
Med:</t>
    </r>
    <r>
      <rPr>
        <sz val="12"/>
        <color theme="1"/>
        <rFont val="Times New Roman"/>
        <family val="1"/>
      </rPr>
      <t xml:space="preserve"> The additional cost adds more than 5% and less than 10% to net Capex.
</t>
    </r>
    <r>
      <rPr>
        <sz val="12"/>
        <color rgb="FFFF0000"/>
        <rFont val="Times New Roman"/>
        <family val="1"/>
      </rPr>
      <t xml:space="preserve">
Low: </t>
    </r>
    <r>
      <rPr>
        <sz val="12"/>
        <color theme="1"/>
        <rFont val="Times New Roman"/>
        <family val="1"/>
      </rPr>
      <t>The additional cost adds more than 10% to net CapEx.</t>
    </r>
  </si>
  <si>
    <r>
      <rPr>
        <sz val="12"/>
        <color rgb="FF00B050"/>
        <rFont val="Times New Roman"/>
        <family val="1"/>
      </rPr>
      <t>High:</t>
    </r>
    <r>
      <rPr>
        <b/>
        <sz val="12"/>
        <color rgb="FF00B050"/>
        <rFont val="Times New Roman"/>
        <family val="1"/>
      </rPr>
      <t xml:space="preserve"> </t>
    </r>
    <r>
      <rPr>
        <sz val="12"/>
        <rFont val="Times New Roman"/>
        <family val="1"/>
      </rPr>
      <t>The transmission from the WEC to the grid adds less than 5% to net CapEx, for small to large array sizes and distance to shore.</t>
    </r>
    <r>
      <rPr>
        <b/>
        <sz val="12"/>
        <color rgb="FF00B050"/>
        <rFont val="Times New Roman"/>
        <family val="1"/>
      </rPr>
      <t xml:space="preserve"> 
</t>
    </r>
    <r>
      <rPr>
        <sz val="12"/>
        <color theme="1"/>
        <rFont val="Times New Roman"/>
        <family val="1"/>
      </rPr>
      <t xml:space="preserve">
</t>
    </r>
    <r>
      <rPr>
        <sz val="12"/>
        <color rgb="FFFFC000"/>
        <rFont val="Times New Roman"/>
        <family val="1"/>
      </rPr>
      <t>Med:</t>
    </r>
    <r>
      <rPr>
        <sz val="12"/>
        <color theme="1"/>
        <rFont val="Times New Roman"/>
        <family val="1"/>
      </rPr>
      <t xml:space="preserve"> The transmission from the WEC to the grid adds less than 5% to net CapEx, for medium to large array sizes and medium to short distance to shore.
</t>
    </r>
    <r>
      <rPr>
        <sz val="12"/>
        <color rgb="FFFF0000"/>
        <rFont val="Times New Roman"/>
        <family val="1"/>
      </rPr>
      <t xml:space="preserve">
Low: </t>
    </r>
    <r>
      <rPr>
        <sz val="12"/>
        <color theme="1"/>
        <rFont val="Times New Roman"/>
        <family val="1"/>
      </rPr>
      <t>The transmission from the WEC to the grid adds less than 5% to net CapEx, for large array sizes and short distance to shore.</t>
    </r>
  </si>
  <si>
    <r>
      <rPr>
        <sz val="12"/>
        <color rgb="FF00B050"/>
        <rFont val="Times New Roman"/>
        <family val="1"/>
      </rPr>
      <t>High:</t>
    </r>
    <r>
      <rPr>
        <b/>
        <sz val="12"/>
        <color rgb="FF00B050"/>
        <rFont val="Times New Roman"/>
        <family val="1"/>
      </rPr>
      <t xml:space="preserve"> </t>
    </r>
    <r>
      <rPr>
        <sz val="12"/>
        <rFont val="Times New Roman"/>
        <family val="1"/>
      </rPr>
      <t xml:space="preserve">No specialized manufacturing is required, or few components (e.g., inverter, alternator) have volume cost breaks available at 100 devices per year. (Electrical devices typically have a 100-piece discount.) </t>
    </r>
    <r>
      <rPr>
        <sz val="12"/>
        <color theme="1"/>
        <rFont val="Times New Roman"/>
        <family val="1"/>
      </rPr>
      <t xml:space="preserve">
</t>
    </r>
    <r>
      <rPr>
        <b/>
        <sz val="12"/>
        <color rgb="FFFFC000"/>
        <rFont val="Times New Roman"/>
        <family val="1"/>
      </rPr>
      <t xml:space="preserve">
</t>
    </r>
    <r>
      <rPr>
        <sz val="12"/>
        <color rgb="FFFFC000"/>
        <rFont val="Times New Roman"/>
        <family val="1"/>
      </rPr>
      <t>Med:</t>
    </r>
    <r>
      <rPr>
        <sz val="12"/>
        <color theme="1"/>
        <rFont val="Times New Roman"/>
        <family val="1"/>
      </rPr>
      <t xml:space="preserve"> More than 20% of cost is in specialty components or requires over 100 devices per year for volume pricing discounts.
</t>
    </r>
    <r>
      <rPr>
        <b/>
        <sz val="12"/>
        <color rgb="FFFF0000"/>
        <rFont val="Times New Roman"/>
        <family val="1"/>
      </rPr>
      <t xml:space="preserve">
</t>
    </r>
    <r>
      <rPr>
        <sz val="12"/>
        <color rgb="FFFF0000"/>
        <rFont val="Times New Roman"/>
        <family val="1"/>
      </rPr>
      <t xml:space="preserve">Low: </t>
    </r>
    <r>
      <rPr>
        <sz val="12"/>
        <color theme="1"/>
        <rFont val="Times New Roman"/>
        <family val="1"/>
      </rPr>
      <t>More than 40% of cost is in specialty components or requires over 500 devices per year for volume pricing discounts.</t>
    </r>
  </si>
  <si>
    <r>
      <rPr>
        <sz val="12"/>
        <color rgb="FF00B050"/>
        <rFont val="Times New Roman"/>
        <family val="1"/>
      </rPr>
      <t>High:</t>
    </r>
    <r>
      <rPr>
        <b/>
        <sz val="12"/>
        <color rgb="FF00B050"/>
        <rFont val="Times New Roman"/>
        <family val="1"/>
      </rPr>
      <t xml:space="preserve"> </t>
    </r>
    <r>
      <rPr>
        <sz val="12"/>
        <rFont val="Times New Roman"/>
        <family val="1"/>
      </rPr>
      <t>The WEC can be manufactured in typical manufacturing facilities and readily assembled in a typical boatyard, or it can be manufactured and assembled in facilities expected in a coastal community that provides commercial fishing boat and large yacht servicing or onsite at the location of the farm</t>
    </r>
    <r>
      <rPr>
        <sz val="12"/>
        <color theme="1"/>
        <rFont val="Times New Roman"/>
        <family val="1"/>
      </rPr>
      <t xml:space="preserve">. 
</t>
    </r>
    <r>
      <rPr>
        <b/>
        <sz val="12"/>
        <color rgb="FFFFC000"/>
        <rFont val="Times New Roman"/>
        <family val="1"/>
      </rPr>
      <t xml:space="preserve">
</t>
    </r>
    <r>
      <rPr>
        <sz val="12"/>
        <color rgb="FFFFC000"/>
        <rFont val="Times New Roman"/>
        <family val="1"/>
      </rPr>
      <t>Med:</t>
    </r>
    <r>
      <rPr>
        <sz val="12"/>
        <color theme="1"/>
        <rFont val="Times New Roman"/>
        <family val="1"/>
      </rPr>
      <t xml:space="preserve"> The WEC requires a dedicated custom-manufacturing facility, or assembly facility requirements are not common in a coastal community and likely available facilities would require significant upgrades or are only available at major ports or large shipyards.
</t>
    </r>
    <r>
      <rPr>
        <b/>
        <sz val="12"/>
        <color rgb="FFFF0000"/>
        <rFont val="Times New Roman"/>
        <family val="1"/>
      </rPr>
      <t xml:space="preserve">
</t>
    </r>
    <r>
      <rPr>
        <sz val="12"/>
        <color rgb="FFFF0000"/>
        <rFont val="Times New Roman"/>
        <family val="1"/>
      </rPr>
      <t xml:space="preserve">Low: </t>
    </r>
    <r>
      <rPr>
        <sz val="12"/>
        <color theme="1"/>
        <rFont val="Times New Roman"/>
        <family val="1"/>
      </rPr>
      <t xml:space="preserve">The WEC requires dry-dock or floating dock (very specialized locations that are not highly translatable); harbor water depth must be deep. </t>
    </r>
  </si>
  <si>
    <r>
      <rPr>
        <sz val="12"/>
        <color rgb="FF00B050"/>
        <rFont val="Times New Roman"/>
        <family val="1"/>
      </rPr>
      <t>High:</t>
    </r>
    <r>
      <rPr>
        <b/>
        <sz val="12"/>
        <color rgb="FF00B050"/>
        <rFont val="Times New Roman"/>
        <family val="1"/>
      </rPr>
      <t xml:space="preserve"> </t>
    </r>
    <r>
      <rPr>
        <sz val="12"/>
        <color theme="1"/>
        <rFont val="Times New Roman"/>
        <family val="1"/>
      </rPr>
      <t xml:space="preserve">The </t>
    </r>
    <r>
      <rPr>
        <sz val="12"/>
        <rFont val="Times New Roman"/>
        <family val="1"/>
      </rPr>
      <t>majority of manufacturing and assembly work does not require highly specialized skills and does not pose safety issues (such as dealing with hazardous materials or working in confined spaces). Common skills, such as welding low-carbon steel and performing electrical and plumbing work, are not considered specialized.</t>
    </r>
    <r>
      <rPr>
        <sz val="12"/>
        <color theme="1"/>
        <rFont val="Times New Roman"/>
        <family val="1"/>
      </rPr>
      <t xml:space="preserve">
</t>
    </r>
    <r>
      <rPr>
        <b/>
        <sz val="12"/>
        <color rgb="FFFFC000"/>
        <rFont val="Times New Roman"/>
        <family val="1"/>
      </rPr>
      <t xml:space="preserve">
</t>
    </r>
    <r>
      <rPr>
        <sz val="12"/>
        <color rgb="FFFFC000"/>
        <rFont val="Times New Roman"/>
        <family val="1"/>
      </rPr>
      <t>Med:</t>
    </r>
    <r>
      <rPr>
        <sz val="12"/>
        <color theme="1"/>
        <rFont val="Times New Roman"/>
        <family val="1"/>
      </rPr>
      <t xml:space="preserve"> Some work requires more specialized skills (such as welding specialized metals) or requires critical weld quality or other specialized skills not common in coastal communities. Special safety considerations (such as working in confined spaces or use of divers) occur, but they are easily managed.
</t>
    </r>
    <r>
      <rPr>
        <b/>
        <sz val="12"/>
        <color rgb="FFFF0000"/>
        <rFont val="Times New Roman"/>
        <family val="1"/>
      </rPr>
      <t xml:space="preserve">
</t>
    </r>
    <r>
      <rPr>
        <sz val="12"/>
        <color rgb="FFFF0000"/>
        <rFont val="Times New Roman"/>
        <family val="1"/>
      </rPr>
      <t xml:space="preserve">Low: </t>
    </r>
    <r>
      <rPr>
        <sz val="12"/>
        <color theme="1"/>
        <rFont val="Times New Roman"/>
        <family val="1"/>
      </rPr>
      <t xml:space="preserve">Much of the work requires specialized skills not likely available in a coastal community, or hazardous work that necessitates significant mitigation efforts (such as working with toxic and hazardous materials) is required.   </t>
    </r>
  </si>
  <si>
    <r>
      <rPr>
        <sz val="12"/>
        <color rgb="FF00B050"/>
        <rFont val="Times New Roman"/>
        <family val="1"/>
      </rPr>
      <t>High:</t>
    </r>
    <r>
      <rPr>
        <b/>
        <sz val="12"/>
        <color rgb="FF00B050"/>
        <rFont val="Times New Roman"/>
        <family val="1"/>
      </rPr>
      <t xml:space="preserve"> </t>
    </r>
    <r>
      <rPr>
        <sz val="12"/>
        <rFont val="Times New Roman"/>
        <family val="1"/>
      </rPr>
      <t>Component transportation is by nonspecialized boat, railway, or road and requires no upgrade to existing infrastructure (such as widening roads) and no special permissions or precautions (e.g., permission from local authorities or police, special speed limit, or special escort).</t>
    </r>
    <r>
      <rPr>
        <sz val="12"/>
        <color theme="1"/>
        <rFont val="Times New Roman"/>
        <family val="1"/>
      </rPr>
      <t xml:space="preserve">
</t>
    </r>
    <r>
      <rPr>
        <b/>
        <sz val="12"/>
        <color rgb="FFFFC000"/>
        <rFont val="Times New Roman"/>
        <family val="1"/>
      </rPr>
      <t xml:space="preserve">
</t>
    </r>
    <r>
      <rPr>
        <sz val="12"/>
        <color rgb="FFFFC000"/>
        <rFont val="Times New Roman"/>
        <family val="1"/>
      </rPr>
      <t>Med:</t>
    </r>
    <r>
      <rPr>
        <sz val="12"/>
        <color theme="1"/>
        <rFont val="Times New Roman"/>
        <family val="1"/>
      </rPr>
      <t xml:space="preserve"> Component transportation is by specialized boat, railway, or road and requires no upgrade to existing infrastructure (such as widening roads) but does require special permission or precautions (e.g., permission from local authorities or police, special speed limit, or special escort).
</t>
    </r>
    <r>
      <rPr>
        <b/>
        <sz val="12"/>
        <color rgb="FFFF0000"/>
        <rFont val="Times New Roman"/>
        <family val="1"/>
      </rPr>
      <t xml:space="preserve">
</t>
    </r>
    <r>
      <rPr>
        <sz val="12"/>
        <color rgb="FFFF0000"/>
        <rFont val="Times New Roman"/>
        <family val="1"/>
      </rPr>
      <t xml:space="preserve">Low: </t>
    </r>
    <r>
      <rPr>
        <sz val="12"/>
        <color theme="1"/>
        <rFont val="Times New Roman"/>
        <family val="1"/>
      </rPr>
      <t>Component transportation requires an upgrade to existing infrastructure.</t>
    </r>
  </si>
  <si>
    <r>
      <rPr>
        <sz val="12"/>
        <color rgb="FF00B050"/>
        <rFont val="Times New Roman"/>
        <family val="1"/>
      </rPr>
      <t>High:</t>
    </r>
    <r>
      <rPr>
        <b/>
        <sz val="12"/>
        <color rgb="FF00B050"/>
        <rFont val="Times New Roman"/>
        <family val="1"/>
      </rPr>
      <t xml:space="preserve"> </t>
    </r>
    <r>
      <rPr>
        <sz val="12"/>
        <rFont val="Times New Roman"/>
        <family val="1"/>
      </rPr>
      <t xml:space="preserve">The WEC device can be fully assembled on land, launched with commonly available cranes or straddle lifts, and towed to the installation site for hookup, or it can be easily assembled offshore without specialized handling equipment. </t>
    </r>
    <r>
      <rPr>
        <sz val="12"/>
        <color theme="1"/>
        <rFont val="Times New Roman"/>
        <family val="1"/>
      </rPr>
      <t xml:space="preserve">
</t>
    </r>
    <r>
      <rPr>
        <b/>
        <sz val="12"/>
        <color rgb="FFFFC000"/>
        <rFont val="Times New Roman"/>
        <family val="1"/>
      </rPr>
      <t xml:space="preserve">
</t>
    </r>
    <r>
      <rPr>
        <sz val="12"/>
        <color rgb="FFFFC000"/>
        <rFont val="Times New Roman"/>
        <family val="1"/>
      </rPr>
      <t>Med:</t>
    </r>
    <r>
      <rPr>
        <sz val="12"/>
        <color theme="1"/>
        <rFont val="Times New Roman"/>
        <family val="1"/>
      </rPr>
      <t xml:space="preserve"> The WEC device can be assembled in the harbor, preferably at the pier, using commonly available cranes and towed to the site for hookup. 
</t>
    </r>
    <r>
      <rPr>
        <b/>
        <sz val="12"/>
        <color rgb="FFFF0000"/>
        <rFont val="Times New Roman"/>
        <family val="1"/>
      </rPr>
      <t xml:space="preserve">
</t>
    </r>
    <r>
      <rPr>
        <sz val="12"/>
        <color rgb="FFFF0000"/>
        <rFont val="Times New Roman"/>
        <family val="1"/>
      </rPr>
      <t xml:space="preserve">Low: </t>
    </r>
    <r>
      <rPr>
        <sz val="12"/>
        <color theme="1"/>
        <rFont val="Times New Roman"/>
        <family val="1"/>
      </rPr>
      <t>On-site assembly is required. Specialized vessels are required.</t>
    </r>
  </si>
  <si>
    <r>
      <rPr>
        <sz val="12"/>
        <color rgb="FF00B050"/>
        <rFont val="Times New Roman"/>
        <family val="1"/>
      </rPr>
      <t>High:</t>
    </r>
    <r>
      <rPr>
        <b/>
        <sz val="12"/>
        <color rgb="FF00B050"/>
        <rFont val="Times New Roman"/>
        <family val="1"/>
      </rPr>
      <t xml:space="preserve"> </t>
    </r>
    <r>
      <rPr>
        <sz val="12"/>
        <rFont val="Times New Roman"/>
        <family val="1"/>
      </rPr>
      <t>The WEC does not need to be towed or can be towed at speeds that exceed 4 knots and in Sea State 5 (Beaufort Scale).</t>
    </r>
    <r>
      <rPr>
        <sz val="12"/>
        <color theme="1"/>
        <rFont val="Times New Roman"/>
        <family val="1"/>
      </rPr>
      <t xml:space="preserve">
</t>
    </r>
    <r>
      <rPr>
        <b/>
        <sz val="12"/>
        <color rgb="FFFFC000"/>
        <rFont val="Times New Roman"/>
        <family val="1"/>
      </rPr>
      <t xml:space="preserve">
</t>
    </r>
    <r>
      <rPr>
        <sz val="12"/>
        <color rgb="FFFFC000"/>
        <rFont val="Times New Roman"/>
        <family val="1"/>
      </rPr>
      <t>Med:</t>
    </r>
    <r>
      <rPr>
        <sz val="12"/>
        <color theme="1"/>
        <rFont val="Times New Roman"/>
        <family val="1"/>
      </rPr>
      <t xml:space="preserve"> The WEC can be towed at speeds of 3</t>
    </r>
    <r>
      <rPr>
        <sz val="12"/>
        <color theme="1"/>
        <rFont val="Calibri"/>
        <family val="2"/>
      </rPr>
      <t>–</t>
    </r>
    <r>
      <rPr>
        <sz val="12"/>
        <color theme="1"/>
        <rFont val="Times New Roman"/>
        <family val="1"/>
      </rPr>
      <t xml:space="preserve">4 knots and Sea State 4.
</t>
    </r>
    <r>
      <rPr>
        <b/>
        <sz val="12"/>
        <color rgb="FFFF0000"/>
        <rFont val="Times New Roman"/>
        <family val="1"/>
      </rPr>
      <t xml:space="preserve">
</t>
    </r>
    <r>
      <rPr>
        <sz val="12"/>
        <color rgb="FFFF0000"/>
        <rFont val="Times New Roman"/>
        <family val="1"/>
      </rPr>
      <t xml:space="preserve">Low: </t>
    </r>
    <r>
      <rPr>
        <sz val="12"/>
        <color theme="1"/>
        <rFont val="Times New Roman"/>
        <family val="1"/>
      </rPr>
      <t>The WEC can be towed at speeds less than 3 knots and sea states less than 4.</t>
    </r>
  </si>
  <si>
    <r>
      <rPr>
        <sz val="12"/>
        <color rgb="FF00B050"/>
        <rFont val="Times New Roman"/>
        <family val="1"/>
      </rPr>
      <t xml:space="preserve">High: </t>
    </r>
    <r>
      <rPr>
        <sz val="12"/>
        <rFont val="Times New Roman"/>
        <family val="1"/>
      </rPr>
      <t>Common workboat less than 100 ft with conventional lift gear, such as less than 50,000 lb. capability</t>
    </r>
    <r>
      <rPr>
        <b/>
        <sz val="12"/>
        <color rgb="FF00B050"/>
        <rFont val="Times New Roman"/>
        <family val="1"/>
      </rPr>
      <t xml:space="preserve">
</t>
    </r>
    <r>
      <rPr>
        <b/>
        <sz val="12"/>
        <color rgb="FFFFC000"/>
        <rFont val="Times New Roman"/>
        <family val="1"/>
      </rPr>
      <t xml:space="preserve">
</t>
    </r>
    <r>
      <rPr>
        <sz val="12"/>
        <color rgb="FFFFC000"/>
        <rFont val="Times New Roman"/>
        <family val="1"/>
      </rPr>
      <t>Med:</t>
    </r>
    <r>
      <rPr>
        <b/>
        <sz val="12"/>
        <color rgb="FF00B050"/>
        <rFont val="Times New Roman"/>
        <family val="1"/>
      </rPr>
      <t xml:space="preserve"> </t>
    </r>
    <r>
      <rPr>
        <sz val="12"/>
        <rFont val="Times New Roman"/>
        <family val="1"/>
      </rPr>
      <t>Larger workboat (less than 300 ft), multiple workboats (less than 100 ft) or workboats with high lifting capability</t>
    </r>
    <r>
      <rPr>
        <b/>
        <sz val="12"/>
        <color rgb="FF00B050"/>
        <rFont val="Times New Roman"/>
        <family val="1"/>
      </rPr>
      <t xml:space="preserve">
</t>
    </r>
    <r>
      <rPr>
        <b/>
        <sz val="12"/>
        <color rgb="FFFF0000"/>
        <rFont val="Times New Roman"/>
        <family val="1"/>
      </rPr>
      <t xml:space="preserve">
</t>
    </r>
    <r>
      <rPr>
        <sz val="12"/>
        <color rgb="FFFF0000"/>
        <rFont val="Times New Roman"/>
        <family val="1"/>
      </rPr>
      <t>Low:</t>
    </r>
    <r>
      <rPr>
        <b/>
        <sz val="12"/>
        <color rgb="FFFF0000"/>
        <rFont val="Times New Roman"/>
        <family val="1"/>
      </rPr>
      <t xml:space="preserve"> </t>
    </r>
    <r>
      <rPr>
        <sz val="12"/>
        <rFont val="Times New Roman"/>
        <family val="1"/>
      </rPr>
      <t>Very large workboat (more than 300 ft) or with special capabilities such as dynamic positioning</t>
    </r>
  </si>
  <si>
    <r>
      <rPr>
        <sz val="12"/>
        <color rgb="FF00B050"/>
        <rFont val="Times New Roman"/>
        <family val="1"/>
      </rPr>
      <t>High:</t>
    </r>
    <r>
      <rPr>
        <b/>
        <sz val="12"/>
        <color rgb="FF00B050"/>
        <rFont val="Times New Roman"/>
        <family val="1"/>
      </rPr>
      <t xml:space="preserve"> </t>
    </r>
    <r>
      <rPr>
        <sz val="12"/>
        <rFont val="Times New Roman"/>
        <family val="1"/>
      </rPr>
      <t>All operations can be conducted from the installation vessel and, at most, two rigid-hulled inflatable boats or equivalent in seas beyond Sea State 4 (Beaufort Scale).</t>
    </r>
    <r>
      <rPr>
        <sz val="12"/>
        <color theme="1"/>
        <rFont val="Times New Roman"/>
        <family val="1"/>
      </rPr>
      <t xml:space="preserve">
</t>
    </r>
    <r>
      <rPr>
        <b/>
        <sz val="12"/>
        <color rgb="FFFFC000"/>
        <rFont val="Times New Roman"/>
        <family val="1"/>
      </rPr>
      <t xml:space="preserve">
</t>
    </r>
    <r>
      <rPr>
        <sz val="12"/>
        <color rgb="FFFFC000"/>
        <rFont val="Times New Roman"/>
        <family val="1"/>
      </rPr>
      <t>Med:</t>
    </r>
    <r>
      <rPr>
        <sz val="12"/>
        <color theme="1"/>
        <rFont val="Times New Roman"/>
        <family val="1"/>
      </rPr>
      <t xml:space="preserve"> Operations require special equipment (such as smaller utility remotely operated vehicles), multiple work vessels/tugs, or are limited to Sea State 3 or below.
</t>
    </r>
    <r>
      <rPr>
        <b/>
        <sz val="12"/>
        <color rgb="FFFF0000"/>
        <rFont val="Times New Roman"/>
        <family val="1"/>
      </rPr>
      <t xml:space="preserve">
</t>
    </r>
    <r>
      <rPr>
        <sz val="12"/>
        <color rgb="FFFF0000"/>
        <rFont val="Times New Roman"/>
        <family val="1"/>
      </rPr>
      <t xml:space="preserve">Low: </t>
    </r>
    <r>
      <rPr>
        <sz val="12"/>
        <color theme="1"/>
        <rFont val="Times New Roman"/>
        <family val="1"/>
      </rPr>
      <t>Operations require divers, expensive support equipment (such as work-class remotely operated vehicles), or are limited to Sea State 4 or below.</t>
    </r>
  </si>
  <si>
    <r>
      <rPr>
        <sz val="12"/>
        <color rgb="FF00B050"/>
        <rFont val="Times New Roman"/>
        <family val="1"/>
      </rPr>
      <t>High:</t>
    </r>
    <r>
      <rPr>
        <b/>
        <sz val="12"/>
        <color rgb="FF00B050"/>
        <rFont val="Times New Roman"/>
        <family val="1"/>
      </rPr>
      <t xml:space="preserve"> </t>
    </r>
    <r>
      <rPr>
        <sz val="12"/>
        <rFont val="Times New Roman"/>
        <family val="1"/>
      </rPr>
      <t xml:space="preserve">All operations can be conducted at Sea State 4 (Beaufort Scale) and possibly beyond. </t>
    </r>
    <r>
      <rPr>
        <sz val="12"/>
        <color theme="1"/>
        <rFont val="Times New Roman"/>
        <family val="1"/>
      </rPr>
      <t xml:space="preserve">
</t>
    </r>
    <r>
      <rPr>
        <b/>
        <sz val="12"/>
        <color rgb="FFFFC000"/>
        <rFont val="Times New Roman"/>
        <family val="1"/>
      </rPr>
      <t xml:space="preserve">
</t>
    </r>
    <r>
      <rPr>
        <sz val="12"/>
        <color rgb="FFFFC000"/>
        <rFont val="Times New Roman"/>
        <family val="1"/>
      </rPr>
      <t>Med:</t>
    </r>
    <r>
      <rPr>
        <sz val="12"/>
        <color theme="1"/>
        <rFont val="Times New Roman"/>
        <family val="1"/>
      </rPr>
      <t xml:space="preserve"> Operations are limited to Sea State 3 or below.
</t>
    </r>
    <r>
      <rPr>
        <b/>
        <sz val="12"/>
        <color rgb="FFFF0000"/>
        <rFont val="Times New Roman"/>
        <family val="1"/>
      </rPr>
      <t xml:space="preserve">
</t>
    </r>
    <r>
      <rPr>
        <sz val="12"/>
        <color rgb="FFFF0000"/>
        <rFont val="Times New Roman"/>
        <family val="1"/>
      </rPr>
      <t xml:space="preserve">Low: </t>
    </r>
    <r>
      <rPr>
        <sz val="12"/>
        <color theme="1"/>
        <rFont val="Times New Roman"/>
        <family val="1"/>
      </rPr>
      <t>Operations are limited to Sea State 2 or below.</t>
    </r>
  </si>
  <si>
    <r>
      <rPr>
        <sz val="12"/>
        <color rgb="FF00B050"/>
        <rFont val="Times New Roman"/>
        <family val="1"/>
      </rPr>
      <t>High:</t>
    </r>
    <r>
      <rPr>
        <b/>
        <sz val="12"/>
        <color rgb="FF00B050"/>
        <rFont val="Times New Roman"/>
        <family val="1"/>
      </rPr>
      <t xml:space="preserve"> </t>
    </r>
    <r>
      <rPr>
        <sz val="12"/>
        <color theme="1"/>
        <rFont val="Times New Roman"/>
        <family val="1"/>
      </rPr>
      <t xml:space="preserve">All WEC subsystems and their components have safety margins for extreme load and motion conditions, have fatigue lives expected to exceed system life, and are designed and approved for the environment they operate in. Loads and conditions are well characterized. 
</t>
    </r>
    <r>
      <rPr>
        <sz val="12"/>
        <color rgb="FFFFC000"/>
        <rFont val="Times New Roman"/>
        <family val="1"/>
      </rPr>
      <t xml:space="preserve">
Med:</t>
    </r>
    <r>
      <rPr>
        <sz val="12"/>
        <color theme="1"/>
        <rFont val="Times New Roman"/>
        <family val="1"/>
      </rPr>
      <t xml:space="preserve"> Same as high except the loads and conditions are not as well characterized or some uncertainty exists within the structural reliability modeling. Components and subsystems are designed with easy access for replacement. 
</t>
    </r>
    <r>
      <rPr>
        <sz val="12"/>
        <color rgb="FFFF0000"/>
        <rFont val="Times New Roman"/>
        <family val="1"/>
      </rPr>
      <t xml:space="preserve">
Low: </t>
    </r>
    <r>
      <rPr>
        <sz val="12"/>
        <color theme="1"/>
        <rFont val="Times New Roman"/>
        <family val="1"/>
      </rPr>
      <t xml:space="preserve">Some components are expected to fail in extreme load conditions or during the life of the system, or loads and motions are not well known. </t>
    </r>
  </si>
  <si>
    <r>
      <rPr>
        <sz val="12"/>
        <color rgb="FF00B050"/>
        <rFont val="Times New Roman"/>
        <family val="1"/>
      </rPr>
      <t>High:</t>
    </r>
    <r>
      <rPr>
        <b/>
        <sz val="12"/>
        <color rgb="FF00B050"/>
        <rFont val="Times New Roman"/>
        <family val="1"/>
      </rPr>
      <t xml:space="preserve"> </t>
    </r>
    <r>
      <rPr>
        <sz val="12"/>
        <rFont val="Times New Roman"/>
        <family val="1"/>
      </rPr>
      <t>Most or all subsystems and components are mature technologies that have been used in simil</t>
    </r>
    <r>
      <rPr>
        <sz val="12"/>
        <color theme="1"/>
        <rFont val="Times New Roman"/>
        <family val="1"/>
      </rPr>
      <t>ar environments. Mean time between failures for each component is more than planned WEC life, or component is low-cost and easy to remove and replace. Components that may fail do not endanger WEC for loss or further damage because of failing safe or redundancy.</t>
    </r>
    <r>
      <rPr>
        <sz val="12"/>
        <color rgb="FFFF0000"/>
        <rFont val="Times New Roman"/>
        <family val="1"/>
      </rPr>
      <t xml:space="preserve"> </t>
    </r>
    <r>
      <rPr>
        <sz val="12"/>
        <color theme="1"/>
        <rFont val="Times New Roman"/>
        <family val="1"/>
      </rPr>
      <t xml:space="preserve">
</t>
    </r>
    <r>
      <rPr>
        <b/>
        <sz val="12"/>
        <color rgb="FFFFC000"/>
        <rFont val="Times New Roman"/>
        <family val="1"/>
      </rPr>
      <t xml:space="preserve">
</t>
    </r>
    <r>
      <rPr>
        <sz val="12"/>
        <color rgb="FFFFC000"/>
        <rFont val="Times New Roman"/>
        <family val="1"/>
      </rPr>
      <t>Med:</t>
    </r>
    <r>
      <rPr>
        <sz val="12"/>
        <color theme="1"/>
        <rFont val="Times New Roman"/>
        <family val="1"/>
      </rPr>
      <t xml:space="preserve"> Some new technology components or components with no history of use in this environment are used, so failure rate data are not reliable for this application. Components with expected failures are expensive. Removal and replacement of parts can be difficult on location, or specialized boats or equipment are required. Failure results in full loss of function or increased danger to the WEC. 
</t>
    </r>
    <r>
      <rPr>
        <b/>
        <sz val="12"/>
        <color rgb="FFFF0000"/>
        <rFont val="Times New Roman"/>
        <family val="1"/>
      </rPr>
      <t xml:space="preserve">
</t>
    </r>
    <r>
      <rPr>
        <sz val="12"/>
        <color rgb="FFFF0000"/>
        <rFont val="Times New Roman"/>
        <family val="1"/>
      </rPr>
      <t xml:space="preserve">Low: </t>
    </r>
    <r>
      <rPr>
        <sz val="12"/>
        <color theme="1"/>
        <rFont val="Times New Roman"/>
        <family val="1"/>
      </rPr>
      <t xml:space="preserve">Several components are new designs with no operational history in this environment, or there is high difficulty in replacing or repairing failed parts. Some parts that may fail result in significant increase in the probability of loss or further damage to the WEC. </t>
    </r>
  </si>
  <si>
    <r>
      <rPr>
        <sz val="12"/>
        <color rgb="FF00B050"/>
        <rFont val="Times New Roman"/>
        <family val="1"/>
      </rPr>
      <t>High:</t>
    </r>
    <r>
      <rPr>
        <b/>
        <sz val="12"/>
        <color rgb="FF00B050"/>
        <rFont val="Times New Roman"/>
        <family val="1"/>
      </rPr>
      <t xml:space="preserve"> </t>
    </r>
    <r>
      <rPr>
        <sz val="12"/>
        <rFont val="Times New Roman"/>
        <family val="1"/>
      </rPr>
      <t xml:space="preserve">No high-mass or -volume items are expected to be replaced in the WEC lifetime. Maintenance can be performed from a conventional 100-ft work boat.
</t>
    </r>
    <r>
      <rPr>
        <sz val="12"/>
        <color theme="1"/>
        <rFont val="Times New Roman"/>
        <family val="1"/>
      </rPr>
      <t xml:space="preserve">
</t>
    </r>
    <r>
      <rPr>
        <sz val="12"/>
        <color rgb="FFFFC000"/>
        <rFont val="Times New Roman"/>
        <family val="1"/>
      </rPr>
      <t>Med:</t>
    </r>
    <r>
      <rPr>
        <sz val="12"/>
        <color theme="1"/>
        <rFont val="Times New Roman"/>
        <family val="1"/>
      </rPr>
      <t xml:space="preserve"> Less than one failure of a high-mass item is expected per WEC lifetime, and it is easy to release and tow the WEC into a protected harbor with a dockside crane to facilitate the work. Release and tow could be accomplished with a 100-ft or less work vessel and an intermediate remotely operated vehicle. 
</t>
    </r>
    <r>
      <rPr>
        <sz val="12"/>
        <color rgb="FFFF0000"/>
        <rFont val="Times New Roman"/>
        <family val="1"/>
      </rPr>
      <t xml:space="preserve">Low: </t>
    </r>
    <r>
      <rPr>
        <sz val="12"/>
        <color theme="1"/>
        <rFont val="Times New Roman"/>
        <family val="1"/>
      </rPr>
      <t>There are components that will require heavy lift-equipped or other specialized vessels (e.g., dynamically positioned) or expensive support equipment (e.g., work-class remotely operated vehicles) for service on site when releasing the WEC and towing to a harbor would be a difficult or expensive option.</t>
    </r>
  </si>
  <si>
    <r>
      <rPr>
        <sz val="12"/>
        <color rgb="FF00B050"/>
        <rFont val="Times New Roman"/>
        <family val="1"/>
      </rPr>
      <t>High:</t>
    </r>
    <r>
      <rPr>
        <b/>
        <sz val="12"/>
        <color rgb="FF00B050"/>
        <rFont val="Times New Roman"/>
        <family val="1"/>
      </rPr>
      <t xml:space="preserve"> </t>
    </r>
    <r>
      <rPr>
        <sz val="12"/>
        <rFont val="Times New Roman"/>
        <family val="1"/>
      </rPr>
      <t xml:space="preserve">The device can be serviced in Sea State 4 (Beaufort Scale) and greater.
</t>
    </r>
    <r>
      <rPr>
        <sz val="12"/>
        <color theme="1"/>
        <rFont val="Times New Roman"/>
        <family val="1"/>
      </rPr>
      <t xml:space="preserve">
</t>
    </r>
    <r>
      <rPr>
        <sz val="12"/>
        <color rgb="FFFFC000"/>
        <rFont val="Times New Roman"/>
        <family val="1"/>
      </rPr>
      <t>Med:</t>
    </r>
    <r>
      <rPr>
        <sz val="12"/>
        <color theme="1"/>
        <rFont val="Times New Roman"/>
        <family val="1"/>
      </rPr>
      <t xml:space="preserve"> The device can be serviced in Sea State 3 or less.
</t>
    </r>
    <r>
      <rPr>
        <sz val="12"/>
        <color rgb="FFFF0000"/>
        <rFont val="Times New Roman"/>
        <family val="1"/>
      </rPr>
      <t xml:space="preserve">Low: </t>
    </r>
    <r>
      <rPr>
        <sz val="12"/>
        <color theme="1"/>
        <rFont val="Times New Roman"/>
        <family val="1"/>
      </rPr>
      <t>The device can be serviced in Sea State 2 or less.</t>
    </r>
  </si>
  <si>
    <r>
      <rPr>
        <sz val="12"/>
        <color rgb="FF00B050"/>
        <rFont val="Times New Roman"/>
        <family val="1"/>
      </rPr>
      <t xml:space="preserve">High: </t>
    </r>
    <r>
      <rPr>
        <sz val="12"/>
        <rFont val="Times New Roman"/>
        <family val="1"/>
      </rPr>
      <t>The WEC can produce 80% plus of nominal peak power with a wave resource from 20 to 40 kW/</t>
    </r>
    <r>
      <rPr>
        <sz val="12"/>
        <color theme="1"/>
        <rFont val="Times New Roman"/>
        <family val="1"/>
      </rPr>
      <t xml:space="preserve">m and from any direction.
</t>
    </r>
    <r>
      <rPr>
        <sz val="12"/>
        <color rgb="FFFF0000"/>
        <rFont val="Times New Roman"/>
        <family val="1"/>
      </rPr>
      <t xml:space="preserve"> </t>
    </r>
    <r>
      <rPr>
        <sz val="12"/>
        <color theme="1"/>
        <rFont val="Times New Roman"/>
        <family val="1"/>
      </rPr>
      <t xml:space="preserve">
</t>
    </r>
    <r>
      <rPr>
        <b/>
        <sz val="12"/>
        <color rgb="FFFFC000"/>
        <rFont val="Times New Roman"/>
        <family val="1"/>
      </rPr>
      <t>Med:</t>
    </r>
    <r>
      <rPr>
        <sz val="12"/>
        <color theme="1"/>
        <rFont val="Times New Roman"/>
        <family val="1"/>
      </rPr>
      <t xml:space="preserve"> Nominal peak power is only possible over a narrower range that spans less than 10 kW/m or within 35 degrees of design.</t>
    </r>
    <r>
      <rPr>
        <sz val="12"/>
        <color rgb="FFFF0000"/>
        <rFont val="Times New Roman"/>
        <family val="1"/>
      </rPr>
      <t xml:space="preserve"> </t>
    </r>
    <r>
      <rPr>
        <sz val="12"/>
        <color theme="1"/>
        <rFont val="Times New Roman"/>
        <family val="1"/>
      </rPr>
      <t xml:space="preserve">
</t>
    </r>
    <r>
      <rPr>
        <b/>
        <sz val="12"/>
        <color rgb="FFFF0000"/>
        <rFont val="Times New Roman"/>
        <family val="1"/>
      </rPr>
      <t xml:space="preserve">
</t>
    </r>
    <r>
      <rPr>
        <sz val="12"/>
        <color rgb="FFFF0000"/>
        <rFont val="Times New Roman"/>
        <family val="1"/>
      </rPr>
      <t xml:space="preserve">Low: </t>
    </r>
    <r>
      <rPr>
        <sz val="12"/>
        <color theme="1"/>
        <rFont val="Times New Roman"/>
        <family val="1"/>
      </rPr>
      <t>Nominal peak power is only possible in a limited range of a high-wave resource, such as in excess of 30 kW/m or within 15 degrees of design.</t>
    </r>
  </si>
  <si>
    <r>
      <rPr>
        <sz val="12"/>
        <color rgb="FF00B050"/>
        <rFont val="Times New Roman"/>
        <family val="1"/>
      </rPr>
      <t>High:</t>
    </r>
    <r>
      <rPr>
        <b/>
        <sz val="12"/>
        <color rgb="FF00B050"/>
        <rFont val="Times New Roman"/>
        <family val="1"/>
      </rPr>
      <t xml:space="preserve"> </t>
    </r>
    <r>
      <rPr>
        <sz val="12"/>
        <rFont val="Times New Roman"/>
        <family val="1"/>
      </rPr>
      <t>The capture width ratio exceeds 1.</t>
    </r>
    <r>
      <rPr>
        <sz val="12"/>
        <color theme="1"/>
        <rFont val="Times New Roman"/>
        <family val="1"/>
      </rPr>
      <t xml:space="preserve">
</t>
    </r>
    <r>
      <rPr>
        <b/>
        <sz val="12"/>
        <color rgb="FFFFC000"/>
        <rFont val="Times New Roman"/>
        <family val="1"/>
      </rPr>
      <t xml:space="preserve">
</t>
    </r>
    <r>
      <rPr>
        <sz val="12"/>
        <color rgb="FFFFC000"/>
        <rFont val="Times New Roman"/>
        <family val="1"/>
      </rPr>
      <t>Med:</t>
    </r>
    <r>
      <rPr>
        <sz val="12"/>
        <color theme="1"/>
        <rFont val="Times New Roman"/>
        <family val="1"/>
      </rPr>
      <t xml:space="preserve"> The capture width ratio is between 0.5 and 1.
</t>
    </r>
    <r>
      <rPr>
        <sz val="12"/>
        <color rgb="FFFF0000"/>
        <rFont val="Times New Roman"/>
        <family val="1"/>
      </rPr>
      <t xml:space="preserve">Low: </t>
    </r>
    <r>
      <rPr>
        <sz val="12"/>
        <color theme="1"/>
        <rFont val="Times New Roman"/>
        <family val="1"/>
      </rPr>
      <t>The capture width ratio is less than 0.5.</t>
    </r>
  </si>
  <si>
    <r>
      <rPr>
        <sz val="12"/>
        <color rgb="FF00B050"/>
        <rFont val="Times New Roman"/>
        <family val="1"/>
      </rPr>
      <t>High:</t>
    </r>
    <r>
      <rPr>
        <b/>
        <sz val="12"/>
        <color rgb="FF00B050"/>
        <rFont val="Times New Roman"/>
        <family val="1"/>
      </rPr>
      <t xml:space="preserve"> </t>
    </r>
    <r>
      <rPr>
        <sz val="12"/>
        <color theme="1"/>
        <rFont val="Times New Roman"/>
        <family val="1"/>
      </rPr>
      <t xml:space="preserve">Power capture in 3+ degrees of freedom, dipole radiation pattern (terminator orientation), and large swept volume. (Budal limit does not impose significant cuts in power absorption.)
</t>
    </r>
    <r>
      <rPr>
        <sz val="12"/>
        <color rgb="FFFFC000"/>
        <rFont val="Times New Roman"/>
        <family val="1"/>
      </rPr>
      <t>Med:</t>
    </r>
    <r>
      <rPr>
        <sz val="12"/>
        <color theme="1"/>
        <rFont val="Times New Roman"/>
        <family val="1"/>
      </rPr>
      <t xml:space="preserve"> Power capture in 2 degrees of freedom, any radiation pattern, and large swept volume. (Budal limit imposes some cuts in power absorption.)
</t>
    </r>
    <r>
      <rPr>
        <sz val="12"/>
        <color rgb="FFFF0000"/>
        <rFont val="Times New Roman"/>
        <family val="1"/>
      </rPr>
      <t xml:space="preserve">Low: </t>
    </r>
    <r>
      <rPr>
        <sz val="12"/>
        <color theme="1"/>
        <rFont val="Times New Roman"/>
        <family val="1"/>
      </rPr>
      <t>Power capture in 1 degree of freedom, any radiation pattern, and limited swept volume. (Budal limit imposes significant cuts in power absorption.)</t>
    </r>
  </si>
  <si>
    <r>
      <rPr>
        <sz val="12"/>
        <color rgb="FF00B050"/>
        <rFont val="Times New Roman"/>
        <family val="1"/>
      </rPr>
      <t>High:</t>
    </r>
    <r>
      <rPr>
        <b/>
        <sz val="12"/>
        <color rgb="FF00B050"/>
        <rFont val="Times New Roman"/>
        <family val="1"/>
      </rPr>
      <t xml:space="preserve"> </t>
    </r>
    <r>
      <rPr>
        <sz val="12"/>
        <color theme="1"/>
        <rFont val="Times New Roman"/>
        <family val="1"/>
      </rPr>
      <t xml:space="preserve">No limitation on the kinematic side of absorbed power; mechanical limitations imposed only through position control, for instance
</t>
    </r>
    <r>
      <rPr>
        <sz val="12"/>
        <color rgb="FFFFC000"/>
        <rFont val="Times New Roman"/>
        <family val="1"/>
      </rPr>
      <t>Med:</t>
    </r>
    <r>
      <rPr>
        <sz val="12"/>
        <color theme="1"/>
        <rFont val="Times New Roman"/>
        <family val="1"/>
      </rPr>
      <t xml:space="preserve"> Through a limitation in a degree of freedom that does not directly contribute to the kinematic side of absorbed power
</t>
    </r>
    <r>
      <rPr>
        <sz val="12"/>
        <color rgb="FFFF0000"/>
        <rFont val="Times New Roman"/>
        <family val="1"/>
      </rPr>
      <t xml:space="preserve">Low: </t>
    </r>
    <r>
      <rPr>
        <sz val="12"/>
        <color theme="1"/>
        <rFont val="Times New Roman"/>
        <family val="1"/>
      </rPr>
      <t>Through a limitation on the kinematic side of absorbed power</t>
    </r>
  </si>
  <si>
    <r>
      <rPr>
        <sz val="12"/>
        <color rgb="FF00B050"/>
        <rFont val="Times New Roman"/>
        <family val="1"/>
      </rPr>
      <t>High:</t>
    </r>
    <r>
      <rPr>
        <b/>
        <sz val="12"/>
        <color rgb="FF00B050"/>
        <rFont val="Times New Roman"/>
        <family val="1"/>
      </rPr>
      <t xml:space="preserve"> </t>
    </r>
    <r>
      <rPr>
        <sz val="12"/>
        <rFont val="Times New Roman"/>
        <family val="1"/>
      </rPr>
      <t xml:space="preserve">Minimally sensitive to tidal height, tidal current, or wind impacting WEC performance.
</t>
    </r>
    <r>
      <rPr>
        <sz val="12"/>
        <color theme="1"/>
        <rFont val="Times New Roman"/>
        <family val="1"/>
      </rPr>
      <t xml:space="preserve">
</t>
    </r>
    <r>
      <rPr>
        <sz val="12"/>
        <color rgb="FFFFC000"/>
        <rFont val="Times New Roman"/>
        <family val="1"/>
      </rPr>
      <t>Med:</t>
    </r>
    <r>
      <rPr>
        <sz val="12"/>
        <color theme="1"/>
        <rFont val="Times New Roman"/>
        <family val="1"/>
      </rPr>
      <t xml:space="preserve"> Any of the three conditions or a combination of them within common values can result in a reduction in captured energy of between 15% and 30% during the impact of these conditions.
</t>
    </r>
    <r>
      <rPr>
        <sz val="12"/>
        <color rgb="FFFF0000"/>
        <rFont val="Times New Roman"/>
        <family val="1"/>
      </rPr>
      <t xml:space="preserve">Low: </t>
    </r>
    <r>
      <rPr>
        <sz val="12"/>
        <color theme="1"/>
        <rFont val="Times New Roman"/>
        <family val="1"/>
      </rPr>
      <t>Any of the three conditions or a combination of them within common values can result in a reduction in captured energy of greater than 30% during the impact of these conditions.</t>
    </r>
  </si>
  <si>
    <r>
      <rPr>
        <sz val="12"/>
        <color rgb="FF00B050"/>
        <rFont val="Times New Roman"/>
        <family val="1"/>
      </rPr>
      <t>High:</t>
    </r>
    <r>
      <rPr>
        <b/>
        <sz val="12"/>
        <color rgb="FF00B050"/>
        <rFont val="Times New Roman"/>
        <family val="1"/>
      </rPr>
      <t xml:space="preserve"> </t>
    </r>
    <r>
      <rPr>
        <sz val="12"/>
        <rFont val="Times New Roman"/>
        <family val="1"/>
      </rPr>
      <t>Th</t>
    </r>
    <r>
      <rPr>
        <sz val="12"/>
        <color theme="1"/>
        <rFont val="Times New Roman"/>
        <family val="1"/>
      </rPr>
      <t xml:space="preserve">e station-keeping system does not negatively influence energy absorption.
</t>
    </r>
    <r>
      <rPr>
        <b/>
        <sz val="12"/>
        <color rgb="FFFFC000"/>
        <rFont val="Times New Roman"/>
        <family val="1"/>
      </rPr>
      <t>Med:</t>
    </r>
    <r>
      <rPr>
        <sz val="12"/>
        <color theme="1"/>
        <rFont val="Times New Roman"/>
        <family val="1"/>
      </rPr>
      <t xml:space="preserve"> The station-keeping system has limited impact on reducing energy capture.
</t>
    </r>
    <r>
      <rPr>
        <sz val="12"/>
        <color rgb="FFFF0000"/>
        <rFont val="Times New Roman"/>
        <family val="1"/>
      </rPr>
      <t xml:space="preserve">Low: </t>
    </r>
    <r>
      <rPr>
        <sz val="12"/>
        <color theme="1"/>
        <rFont val="Times New Roman"/>
        <family val="1"/>
      </rPr>
      <t>The mooring system restricts the power absorption.</t>
    </r>
  </si>
  <si>
    <r>
      <rPr>
        <sz val="12"/>
        <color rgb="FF00B050"/>
        <rFont val="Times New Roman"/>
        <family val="1"/>
      </rPr>
      <t>High:</t>
    </r>
    <r>
      <rPr>
        <b/>
        <sz val="12"/>
        <color rgb="FF00B050"/>
        <rFont val="Times New Roman"/>
        <family val="1"/>
      </rPr>
      <t xml:space="preserve"> </t>
    </r>
    <r>
      <rPr>
        <sz val="12"/>
        <rFont val="Times New Roman"/>
        <family val="1"/>
      </rPr>
      <t>Two or less with a net efficiency of at least 90%</t>
    </r>
    <r>
      <rPr>
        <sz val="12"/>
        <color theme="1"/>
        <rFont val="Times New Roman"/>
        <family val="1"/>
      </rPr>
      <t xml:space="preserve">
</t>
    </r>
    <r>
      <rPr>
        <sz val="12"/>
        <color rgb="FFFFC000"/>
        <rFont val="Times New Roman"/>
        <family val="1"/>
      </rPr>
      <t xml:space="preserve">
Med:</t>
    </r>
    <r>
      <rPr>
        <sz val="12"/>
        <color theme="1"/>
        <rFont val="Times New Roman"/>
        <family val="1"/>
      </rPr>
      <t xml:space="preserve"> Three to four with a net efficiency of 80%</t>
    </r>
    <r>
      <rPr>
        <sz val="12"/>
        <color theme="1"/>
        <rFont val="Calibri"/>
        <family val="2"/>
      </rPr>
      <t>–</t>
    </r>
    <r>
      <rPr>
        <sz val="12"/>
        <color theme="1"/>
        <rFont val="Times New Roman"/>
        <family val="1"/>
      </rPr>
      <t xml:space="preserve">90%
</t>
    </r>
    <r>
      <rPr>
        <sz val="12"/>
        <color rgb="FFFF0000"/>
        <rFont val="Times New Roman"/>
        <family val="1"/>
      </rPr>
      <t xml:space="preserve">
Low: </t>
    </r>
    <r>
      <rPr>
        <sz val="12"/>
        <color theme="1"/>
        <rFont val="Times New Roman"/>
        <family val="1"/>
      </rPr>
      <t>More than four with a net efficiency of less than 80%</t>
    </r>
  </si>
  <si>
    <r>
      <rPr>
        <sz val="12"/>
        <color rgb="FF00B050"/>
        <rFont val="Times New Roman"/>
        <family val="1"/>
      </rPr>
      <t>High:</t>
    </r>
    <r>
      <rPr>
        <b/>
        <sz val="12"/>
        <color rgb="FF00B050"/>
        <rFont val="Times New Roman"/>
        <family val="1"/>
      </rPr>
      <t xml:space="preserve"> </t>
    </r>
    <r>
      <rPr>
        <sz val="12"/>
        <rFont val="Times New Roman"/>
        <family val="1"/>
      </rPr>
      <t>Ratio is be</t>
    </r>
    <r>
      <rPr>
        <sz val="12"/>
        <color theme="1"/>
        <rFont val="Times New Roman"/>
        <family val="1"/>
      </rPr>
      <t xml:space="preserve">low 5.0, and only one component is required to be oversized at or near this ratio relative to the mean power.  
</t>
    </r>
    <r>
      <rPr>
        <b/>
        <sz val="12"/>
        <color rgb="FFFFC000"/>
        <rFont val="Times New Roman"/>
        <family val="1"/>
      </rPr>
      <t>Med:</t>
    </r>
    <r>
      <rPr>
        <sz val="12"/>
        <color theme="1"/>
        <rFont val="Times New Roman"/>
        <family val="1"/>
      </rPr>
      <t xml:space="preserve"> </t>
    </r>
    <r>
      <rPr>
        <sz val="12"/>
        <rFont val="Times New Roman"/>
        <family val="1"/>
      </rPr>
      <t>Ratio is between 5.0</t>
    </r>
    <r>
      <rPr>
        <sz val="12"/>
        <color theme="1"/>
        <rFont val="Times New Roman"/>
        <family val="1"/>
      </rPr>
      <t xml:space="preserve"> to 10.0, and several components are required to be oversized at or near this ratio relative to the mean power. 
</t>
    </r>
    <r>
      <rPr>
        <sz val="12"/>
        <color rgb="FFFF0000"/>
        <rFont val="Times New Roman"/>
        <family val="1"/>
      </rPr>
      <t xml:space="preserve">Low: </t>
    </r>
    <r>
      <rPr>
        <sz val="12"/>
        <rFont val="Times New Roman"/>
        <family val="1"/>
      </rPr>
      <t xml:space="preserve">Ratio is </t>
    </r>
    <r>
      <rPr>
        <sz val="12"/>
        <color theme="1"/>
        <rFont val="Times New Roman"/>
        <family val="1"/>
      </rPr>
      <t xml:space="preserve">higher than 10.0, and the entire drivetrain needs to be oversized at or near this ratio relative to the mean power. </t>
    </r>
  </si>
  <si>
    <r>
      <rPr>
        <sz val="12"/>
        <color rgb="FF00B050"/>
        <rFont val="Times New Roman"/>
        <family val="1"/>
      </rPr>
      <t>High:</t>
    </r>
    <r>
      <rPr>
        <b/>
        <sz val="12"/>
        <color rgb="FF00B050"/>
        <rFont val="Times New Roman"/>
        <family val="1"/>
      </rPr>
      <t xml:space="preserve"> </t>
    </r>
    <r>
      <rPr>
        <sz val="12"/>
        <color theme="1"/>
        <rFont val="Times New Roman"/>
        <family val="1"/>
      </rPr>
      <t xml:space="preserve">Two or less and/or above 95% efficiency
</t>
    </r>
    <r>
      <rPr>
        <sz val="12"/>
        <color rgb="FFFFC000"/>
        <rFont val="Times New Roman"/>
        <family val="1"/>
      </rPr>
      <t>Med:</t>
    </r>
    <r>
      <rPr>
        <sz val="12"/>
        <color theme="1"/>
        <rFont val="Times New Roman"/>
        <family val="1"/>
      </rPr>
      <t xml:space="preserve"> Three and/or above 90% efficiency
</t>
    </r>
    <r>
      <rPr>
        <sz val="12"/>
        <color rgb="FFFF0000"/>
        <rFont val="Times New Roman"/>
        <family val="1"/>
      </rPr>
      <t xml:space="preserve">Low: </t>
    </r>
    <r>
      <rPr>
        <sz val="12"/>
        <color theme="1"/>
        <rFont val="Times New Roman"/>
        <family val="1"/>
      </rPr>
      <t>More than three and/or below 80% efficiency</t>
    </r>
  </si>
  <si>
    <r>
      <rPr>
        <sz val="12"/>
        <color rgb="FF00B050"/>
        <rFont val="Times New Roman"/>
        <family val="1"/>
      </rPr>
      <t>High:</t>
    </r>
    <r>
      <rPr>
        <b/>
        <sz val="12"/>
        <color rgb="FF00B050"/>
        <rFont val="Times New Roman"/>
        <family val="1"/>
      </rPr>
      <t xml:space="preserve"> </t>
    </r>
    <r>
      <rPr>
        <sz val="12"/>
        <color theme="1"/>
        <rFont val="Times New Roman"/>
        <family val="1"/>
      </rPr>
      <t xml:space="preserve">All steps are below 4.0. 
</t>
    </r>
    <r>
      <rPr>
        <sz val="12"/>
        <color rgb="FFFFC000"/>
        <rFont val="Times New Roman"/>
        <family val="1"/>
      </rPr>
      <t>Med:</t>
    </r>
    <r>
      <rPr>
        <sz val="12"/>
        <color theme="1"/>
        <rFont val="Times New Roman"/>
        <family val="1"/>
      </rPr>
      <t xml:space="preserve"> 4.0 to 10.0, and not all components see the highest ratio.
</t>
    </r>
    <r>
      <rPr>
        <sz val="12"/>
        <color rgb="FFFF0000"/>
        <rFont val="Times New Roman"/>
        <family val="1"/>
      </rPr>
      <t xml:space="preserve">Low: </t>
    </r>
    <r>
      <rPr>
        <sz val="12"/>
        <color theme="1"/>
        <rFont val="Times New Roman"/>
        <family val="1"/>
      </rPr>
      <t xml:space="preserve">Higher than 10.0, and all or most components see similar high ratios. </t>
    </r>
  </si>
  <si>
    <r>
      <rPr>
        <sz val="12"/>
        <color rgb="FF00B050"/>
        <rFont val="Times New Roman"/>
        <family val="1"/>
      </rPr>
      <t>High:</t>
    </r>
    <r>
      <rPr>
        <b/>
        <sz val="12"/>
        <color rgb="FF00B050"/>
        <rFont val="Times New Roman"/>
        <family val="1"/>
      </rPr>
      <t xml:space="preserve"> </t>
    </r>
    <r>
      <rPr>
        <sz val="12"/>
        <color theme="1"/>
        <rFont val="Times New Roman"/>
        <family val="1"/>
      </rPr>
      <t xml:space="preserve">All WEC subsystems and their components have safety margins for extreme load and motion conditions, have fatigue lives expected to exceed system life, and are designed and approved for the environment they operate in. Loads and conditions are well characterized. 
</t>
    </r>
    <r>
      <rPr>
        <sz val="12"/>
        <color rgb="FFFFC000"/>
        <rFont val="Times New Roman"/>
        <family val="1"/>
      </rPr>
      <t>Med:</t>
    </r>
    <r>
      <rPr>
        <sz val="12"/>
        <color theme="1"/>
        <rFont val="Times New Roman"/>
        <family val="1"/>
      </rPr>
      <t xml:space="preserve"> Same as high except the loads and conditions are not as well characterized, some uncertainty exists withi</t>
    </r>
    <r>
      <rPr>
        <sz val="12"/>
        <rFont val="Times New Roman"/>
        <family val="1"/>
      </rPr>
      <t>n the structural reliability modeling, and components and subsystems are designed with easy access for replacement.</t>
    </r>
    <r>
      <rPr>
        <sz val="12"/>
        <color theme="1"/>
        <rFont val="Times New Roman"/>
        <family val="1"/>
      </rPr>
      <t xml:space="preserve"> 
</t>
    </r>
    <r>
      <rPr>
        <sz val="12"/>
        <color rgb="FFFF0000"/>
        <rFont val="Times New Roman"/>
        <family val="1"/>
      </rPr>
      <t xml:space="preserve">Low: </t>
    </r>
    <r>
      <rPr>
        <sz val="12"/>
        <color theme="1"/>
        <rFont val="Times New Roman"/>
        <family val="1"/>
      </rPr>
      <t xml:space="preserve">Some components are expected to fail in extreme load conditions or during the life of the system, or loads and motions are not well known. </t>
    </r>
  </si>
  <si>
    <r>
      <rPr>
        <sz val="12"/>
        <color rgb="FF00B050"/>
        <rFont val="Times New Roman"/>
        <family val="1"/>
      </rPr>
      <t>High:</t>
    </r>
    <r>
      <rPr>
        <b/>
        <sz val="12"/>
        <color rgb="FF00B050"/>
        <rFont val="Times New Roman"/>
        <family val="1"/>
      </rPr>
      <t xml:space="preserve"> </t>
    </r>
    <r>
      <rPr>
        <sz val="12"/>
        <rFont val="Times New Roman"/>
        <family val="1"/>
      </rPr>
      <t xml:space="preserve">The device can be serviced in Sea State 4 (Beaufort Scale) and greater.
</t>
    </r>
    <r>
      <rPr>
        <sz val="12"/>
        <color theme="1"/>
        <rFont val="Times New Roman"/>
        <family val="1"/>
      </rPr>
      <t xml:space="preserve">
</t>
    </r>
    <r>
      <rPr>
        <sz val="12"/>
        <color rgb="FFFFC000"/>
        <rFont val="Times New Roman"/>
        <family val="1"/>
      </rPr>
      <t>Med:</t>
    </r>
    <r>
      <rPr>
        <sz val="12"/>
        <color theme="1"/>
        <rFont val="Times New Roman"/>
        <family val="1"/>
      </rPr>
      <t xml:space="preserve"> The device can be serviced in Sea State 3 or less. 
</t>
    </r>
    <r>
      <rPr>
        <sz val="12"/>
        <color rgb="FFFF0000"/>
        <rFont val="Times New Roman"/>
        <family val="1"/>
      </rPr>
      <t xml:space="preserve">Low: </t>
    </r>
    <r>
      <rPr>
        <sz val="12"/>
        <color theme="1"/>
        <rFont val="Times New Roman"/>
        <family val="1"/>
      </rPr>
      <t>The device can be serviced in Sea State 2 or less.</t>
    </r>
  </si>
  <si>
    <r>
      <rPr>
        <sz val="12"/>
        <color rgb="FF00B050"/>
        <rFont val="Times New Roman"/>
        <family val="1"/>
      </rPr>
      <t>High:</t>
    </r>
    <r>
      <rPr>
        <b/>
        <sz val="12"/>
        <color rgb="FF00B050"/>
        <rFont val="Times New Roman"/>
        <family val="1"/>
      </rPr>
      <t xml:space="preserve"> </t>
    </r>
    <r>
      <rPr>
        <sz val="12"/>
        <rFont val="Times New Roman"/>
        <family val="1"/>
      </rPr>
      <t xml:space="preserve">No high-mass or -volume items are expected to be replaced in the WEC lifetime. Maintenance can be performed from a conventional 100-ft work boat.
</t>
    </r>
    <r>
      <rPr>
        <sz val="12"/>
        <color theme="1"/>
        <rFont val="Times New Roman"/>
        <family val="1"/>
      </rPr>
      <t xml:space="preserve">
</t>
    </r>
    <r>
      <rPr>
        <sz val="12"/>
        <color rgb="FFFFC000"/>
        <rFont val="Times New Roman"/>
        <family val="1"/>
      </rPr>
      <t>Med:</t>
    </r>
    <r>
      <rPr>
        <sz val="12"/>
        <color theme="1"/>
        <rFont val="Times New Roman"/>
        <family val="1"/>
      </rPr>
      <t xml:space="preserve"> Less than one failure per WEC lifetime of a high-mass item, and it is easy to release and tow the WEC into a protected harbor with a dockside crane to facilitate the work. Release and tow could be accomplished with a 100-ft or less work vessel and an intermediate remotely operated vehicle. 
</t>
    </r>
    <r>
      <rPr>
        <sz val="12"/>
        <color rgb="FFFF0000"/>
        <rFont val="Times New Roman"/>
        <family val="1"/>
      </rPr>
      <t xml:space="preserve">Low: </t>
    </r>
    <r>
      <rPr>
        <sz val="12"/>
        <color theme="1"/>
        <rFont val="Times New Roman"/>
        <family val="1"/>
      </rPr>
      <t>There are components that will require heavy lift-equipped or other specialized vessels (e.g., dynamically positioned) or expensive support equipment (e.g., work-class remotely operated vehicles) for service on-site when releasing the WEC and towing to a harbor would be a difficult or expensive option.</t>
    </r>
  </si>
  <si>
    <r>
      <rPr>
        <sz val="12"/>
        <color rgb="FF00B050"/>
        <rFont val="Times New Roman"/>
        <family val="1"/>
      </rPr>
      <t>High:</t>
    </r>
    <r>
      <rPr>
        <b/>
        <sz val="12"/>
        <color rgb="FF00B050"/>
        <rFont val="Times New Roman"/>
        <family val="1"/>
      </rPr>
      <t xml:space="preserve"> </t>
    </r>
    <r>
      <rPr>
        <sz val="12"/>
        <color theme="1"/>
        <rFont val="Times New Roman"/>
        <family val="1"/>
      </rPr>
      <t xml:space="preserve">All WEC subsystems and their components have safety margins for extreme load and motion conditions, have fatigue lives expected to exceed system life, and are designed and approved for the environment they operate in. Loads and conditions are well characterized. 
</t>
    </r>
    <r>
      <rPr>
        <sz val="12"/>
        <color rgb="FFFFC000"/>
        <rFont val="Times New Roman"/>
        <family val="1"/>
      </rPr>
      <t>Med:</t>
    </r>
    <r>
      <rPr>
        <sz val="12"/>
        <color theme="1"/>
        <rFont val="Times New Roman"/>
        <family val="1"/>
      </rPr>
      <t xml:space="preserve"> Same as high except the loads and conditions are not as well characterized or some uncertainty exists within the structural reliability modeling. Components and subsystems are designed with easy access for replacement. 
</t>
    </r>
    <r>
      <rPr>
        <sz val="12"/>
        <color rgb="FFFF0000"/>
        <rFont val="Times New Roman"/>
        <family val="1"/>
      </rPr>
      <t xml:space="preserve">Low: </t>
    </r>
    <r>
      <rPr>
        <sz val="12"/>
        <color theme="1"/>
        <rFont val="Times New Roman"/>
        <family val="1"/>
      </rPr>
      <t xml:space="preserve">Some components are expected to fail in extreme load conditions or during the life of the system, or loads and motions are not well known. </t>
    </r>
  </si>
  <si>
    <r>
      <rPr>
        <sz val="12"/>
        <color rgb="FF00B050"/>
        <rFont val="Times New Roman"/>
        <family val="1"/>
      </rPr>
      <t>High:</t>
    </r>
    <r>
      <rPr>
        <b/>
        <sz val="12"/>
        <color rgb="FF00B050"/>
        <rFont val="Times New Roman"/>
        <family val="1"/>
      </rPr>
      <t xml:space="preserve"> </t>
    </r>
    <r>
      <rPr>
        <sz val="12"/>
        <rFont val="Times New Roman"/>
        <family val="1"/>
      </rPr>
      <t xml:space="preserve">Traditional, inexpensive material types are more than 90% of the WEC cost.
</t>
    </r>
    <r>
      <rPr>
        <sz val="12"/>
        <color rgb="FFFFC000"/>
        <rFont val="Times New Roman"/>
        <family val="1"/>
      </rPr>
      <t>Med:</t>
    </r>
    <r>
      <rPr>
        <sz val="12"/>
        <color theme="1"/>
        <rFont val="Times New Roman"/>
        <family val="1"/>
      </rPr>
      <t xml:space="preserve"> 20%</t>
    </r>
    <r>
      <rPr>
        <sz val="12"/>
        <color theme="1"/>
        <rFont val="Calibri"/>
        <family val="2"/>
      </rPr>
      <t>–</t>
    </r>
    <r>
      <rPr>
        <sz val="12"/>
        <color theme="1"/>
        <rFont val="Times New Roman"/>
        <family val="1"/>
      </rPr>
      <t xml:space="preserve">30% of the WEC cost is for expensive material types subject to price fluctuations (e.g., rare earth magnetic material).
</t>
    </r>
    <r>
      <rPr>
        <sz val="12"/>
        <color rgb="FFFF0000"/>
        <rFont val="Times New Roman"/>
        <family val="1"/>
      </rPr>
      <t xml:space="preserve">Low: </t>
    </r>
    <r>
      <rPr>
        <sz val="12"/>
        <color theme="1"/>
        <rFont val="Times New Roman"/>
        <family val="1"/>
      </rPr>
      <t>More than 30% of the WEC cost is for expensive material types subject to price fluctuations (e.g., rare earth magnetic material).</t>
    </r>
  </si>
  <si>
    <r>
      <rPr>
        <sz val="12"/>
        <color rgb="FF00B050"/>
        <rFont val="Times New Roman"/>
        <family val="1"/>
      </rPr>
      <t>High:</t>
    </r>
    <r>
      <rPr>
        <b/>
        <sz val="12"/>
        <color rgb="FF00B050"/>
        <rFont val="Times New Roman"/>
        <family val="1"/>
      </rPr>
      <t xml:space="preserve"> </t>
    </r>
    <r>
      <rPr>
        <sz val="12"/>
        <color theme="1"/>
        <rFont val="Times New Roman"/>
        <family val="1"/>
      </rPr>
      <t xml:space="preserve">No
</t>
    </r>
    <r>
      <rPr>
        <sz val="12"/>
        <color rgb="FFFFC000"/>
        <rFont val="Times New Roman"/>
        <family val="1"/>
      </rPr>
      <t>Med:</t>
    </r>
    <r>
      <rPr>
        <sz val="12"/>
        <color theme="1"/>
        <rFont val="Times New Roman"/>
        <family val="1"/>
      </rPr>
      <t xml:space="preserve"> Either new capabilities or new expertise are needed, but not both.
</t>
    </r>
    <r>
      <rPr>
        <sz val="12"/>
        <color rgb="FFFF0000"/>
        <rFont val="Times New Roman"/>
        <family val="1"/>
      </rPr>
      <t xml:space="preserve">Low: </t>
    </r>
    <r>
      <rPr>
        <sz val="12"/>
        <color theme="1"/>
        <rFont val="Times New Roman"/>
        <family val="1"/>
      </rPr>
      <t xml:space="preserve">Yes   </t>
    </r>
  </si>
  <si>
    <r>
      <rPr>
        <sz val="12"/>
        <color rgb="FF00B050"/>
        <rFont val="Times New Roman"/>
        <family val="1"/>
      </rPr>
      <t>High:</t>
    </r>
    <r>
      <rPr>
        <b/>
        <sz val="12"/>
        <color rgb="FF00B050"/>
        <rFont val="Times New Roman"/>
        <family val="1"/>
      </rPr>
      <t xml:space="preserve"> </t>
    </r>
    <r>
      <rPr>
        <sz val="12"/>
        <rFont val="Times New Roman"/>
        <family val="1"/>
      </rPr>
      <t>Most or all subsystems and components are mature technologies that have been used in simil</t>
    </r>
    <r>
      <rPr>
        <sz val="12"/>
        <color theme="1"/>
        <rFont val="Times New Roman"/>
        <family val="1"/>
      </rPr>
      <t>ar environments. Mean time between failures for each component is more than planned WEC life, or component is low-cost and easy to remove and replace. Components that may fail do not endanger WEC for loss or further damage because of failing safe or redundancy.</t>
    </r>
    <r>
      <rPr>
        <sz val="12"/>
        <color rgb="FFFF0000"/>
        <rFont val="Times New Roman"/>
        <family val="1"/>
      </rPr>
      <t xml:space="preserve"> </t>
    </r>
    <r>
      <rPr>
        <sz val="12"/>
        <color theme="1"/>
        <rFont val="Times New Roman"/>
        <family val="1"/>
      </rPr>
      <t xml:space="preserve">
</t>
    </r>
    <r>
      <rPr>
        <b/>
        <sz val="12"/>
        <color rgb="FFFFC000"/>
        <rFont val="Times New Roman"/>
        <family val="1"/>
      </rPr>
      <t xml:space="preserve">
Med:</t>
    </r>
    <r>
      <rPr>
        <sz val="12"/>
        <color theme="1"/>
        <rFont val="Times New Roman"/>
        <family val="1"/>
      </rPr>
      <t xml:space="preserve"> Some new technology components or components with no history of use in this environment are used, so failure rate data are not reliable for this application. Components with expected failures are expensive. Removal and replacement of parts can be difficult on location, or specialized boats or equipment are required. Failure results in full loss of function or increased danger to the WEC. 
</t>
    </r>
    <r>
      <rPr>
        <b/>
        <sz val="12"/>
        <color rgb="FFFF0000"/>
        <rFont val="Times New Roman"/>
        <family val="1"/>
      </rPr>
      <t xml:space="preserve">
</t>
    </r>
    <r>
      <rPr>
        <sz val="12"/>
        <color rgb="FFFF0000"/>
        <rFont val="Times New Roman"/>
        <family val="1"/>
      </rPr>
      <t xml:space="preserve">Low: </t>
    </r>
    <r>
      <rPr>
        <sz val="12"/>
        <color theme="1"/>
        <rFont val="Times New Roman"/>
        <family val="1"/>
      </rPr>
      <t xml:space="preserve">Several components are new designs with no operational history in this environment, or there is high difficulty in replacing or repairing failed parts. Some parts that may fail result in significant increase in the probability of loss or further damage to the WEC. </t>
    </r>
  </si>
  <si>
    <r>
      <rPr>
        <sz val="12"/>
        <color rgb="FF00B050"/>
        <rFont val="Times New Roman"/>
        <family val="1"/>
      </rPr>
      <t>High:</t>
    </r>
    <r>
      <rPr>
        <b/>
        <sz val="12"/>
        <color rgb="FF00B050"/>
        <rFont val="Times New Roman"/>
        <family val="1"/>
      </rPr>
      <t xml:space="preserve"> </t>
    </r>
    <r>
      <rPr>
        <sz val="12"/>
        <rFont val="Times New Roman"/>
        <family val="1"/>
      </rPr>
      <t>The WEC can produce 80% plus of nominal peak power with a wave resource from 20 to 40 kW/</t>
    </r>
    <r>
      <rPr>
        <sz val="12"/>
        <color theme="1"/>
        <rFont val="Times New Roman"/>
        <family val="1"/>
      </rPr>
      <t xml:space="preserve">m and from any direction.
</t>
    </r>
    <r>
      <rPr>
        <sz val="12"/>
        <color rgb="FFFF0000"/>
        <rFont val="Times New Roman"/>
        <family val="1"/>
      </rPr>
      <t xml:space="preserve"> </t>
    </r>
    <r>
      <rPr>
        <sz val="12"/>
        <color theme="1"/>
        <rFont val="Times New Roman"/>
        <family val="1"/>
      </rPr>
      <t xml:space="preserve">
</t>
    </r>
    <r>
      <rPr>
        <sz val="12"/>
        <color rgb="FFFFC000"/>
        <rFont val="Times New Roman"/>
        <family val="1"/>
      </rPr>
      <t>Med:</t>
    </r>
    <r>
      <rPr>
        <sz val="12"/>
        <color theme="1"/>
        <rFont val="Times New Roman"/>
        <family val="1"/>
      </rPr>
      <t xml:space="preserve"> Nominal peak power is only possible over a narrower range that spans less than 10 kW/m or within 35 degrees of design.</t>
    </r>
    <r>
      <rPr>
        <sz val="12"/>
        <color rgb="FFFF0000"/>
        <rFont val="Times New Roman"/>
        <family val="1"/>
      </rPr>
      <t xml:space="preserve"> </t>
    </r>
    <r>
      <rPr>
        <sz val="12"/>
        <color theme="1"/>
        <rFont val="Times New Roman"/>
        <family val="1"/>
      </rPr>
      <t xml:space="preserve">
</t>
    </r>
    <r>
      <rPr>
        <b/>
        <sz val="12"/>
        <color rgb="FFFF0000"/>
        <rFont val="Times New Roman"/>
        <family val="1"/>
      </rPr>
      <t xml:space="preserve">
</t>
    </r>
    <r>
      <rPr>
        <sz val="12"/>
        <color rgb="FFFF0000"/>
        <rFont val="Times New Roman"/>
        <family val="1"/>
      </rPr>
      <t xml:space="preserve">Low: </t>
    </r>
    <r>
      <rPr>
        <sz val="12"/>
        <color theme="1"/>
        <rFont val="Times New Roman"/>
        <family val="1"/>
      </rPr>
      <t>Nominal peak power is only possible in a limited range of a high-wave resource, such as in excess of 30 kW/m or within 15 degrees of design.</t>
    </r>
  </si>
  <si>
    <r>
      <rPr>
        <sz val="12"/>
        <color rgb="FF00B050"/>
        <rFont val="Times New Roman"/>
        <family val="1"/>
      </rPr>
      <t xml:space="preserve">High: </t>
    </r>
    <r>
      <rPr>
        <sz val="12"/>
        <rFont val="Times New Roman"/>
        <family val="1"/>
      </rPr>
      <t xml:space="preserve">The farm will generate more than 50 FTE/GW lasting the lifetime of the farm in the local community.
</t>
    </r>
    <r>
      <rPr>
        <sz val="12"/>
        <color theme="1"/>
        <rFont val="Times New Roman"/>
        <family val="1"/>
      </rPr>
      <t xml:space="preserve">
</t>
    </r>
    <r>
      <rPr>
        <sz val="12"/>
        <color rgb="FFFFC000"/>
        <rFont val="Times New Roman"/>
        <family val="1"/>
      </rPr>
      <t>Med:</t>
    </r>
    <r>
      <rPr>
        <sz val="12"/>
        <color theme="1"/>
        <rFont val="Times New Roman"/>
        <family val="1"/>
      </rPr>
      <t xml:space="preserve"> The farm will generate 20</t>
    </r>
    <r>
      <rPr>
        <sz val="12"/>
        <color theme="1"/>
        <rFont val="Calibri"/>
        <family val="2"/>
      </rPr>
      <t>–</t>
    </r>
    <r>
      <rPr>
        <sz val="12"/>
        <color theme="1"/>
        <rFont val="Times New Roman"/>
        <family val="1"/>
      </rPr>
      <t xml:space="preserve">50 FTE/GW lasting the lifetime of the farm in the local community.
</t>
    </r>
    <r>
      <rPr>
        <sz val="12"/>
        <color rgb="FFFF0000"/>
        <rFont val="Times New Roman"/>
        <family val="1"/>
      </rPr>
      <t xml:space="preserve">Low: </t>
    </r>
    <r>
      <rPr>
        <sz val="12"/>
        <color theme="1"/>
        <rFont val="Times New Roman"/>
        <family val="1"/>
      </rPr>
      <t>The farm will generate less than 20 FTE/GW lasting the lifetime of the farm in the local community.</t>
    </r>
  </si>
  <si>
    <r>
      <rPr>
        <sz val="12"/>
        <color rgb="FF00B050"/>
        <rFont val="Times New Roman"/>
        <family val="1"/>
      </rPr>
      <t xml:space="preserve">High: </t>
    </r>
    <r>
      <rPr>
        <sz val="12"/>
        <rFont val="Times New Roman"/>
        <family val="1"/>
      </rPr>
      <t xml:space="preserve">The farm will generate more than 100 FTE years/GW during construction in the local community.
</t>
    </r>
    <r>
      <rPr>
        <sz val="12"/>
        <color theme="1"/>
        <rFont val="Times New Roman"/>
        <family val="1"/>
      </rPr>
      <t xml:space="preserve">
</t>
    </r>
    <r>
      <rPr>
        <sz val="12"/>
        <color rgb="FFFFC000"/>
        <rFont val="Times New Roman"/>
        <family val="1"/>
      </rPr>
      <t>Med:</t>
    </r>
    <r>
      <rPr>
        <sz val="12"/>
        <color theme="1"/>
        <rFont val="Times New Roman"/>
        <family val="1"/>
      </rPr>
      <t xml:space="preserve"> The farm will generate 40</t>
    </r>
    <r>
      <rPr>
        <sz val="12"/>
        <color theme="1"/>
        <rFont val="Calibri"/>
        <family val="2"/>
      </rPr>
      <t>–</t>
    </r>
    <r>
      <rPr>
        <sz val="12"/>
        <color theme="1"/>
        <rFont val="Times New Roman"/>
        <family val="1"/>
      </rPr>
      <t xml:space="preserve">100 FTE years/GW during construction in the local community.
</t>
    </r>
    <r>
      <rPr>
        <sz val="12"/>
        <color rgb="FFFF0000"/>
        <rFont val="Times New Roman"/>
        <family val="1"/>
      </rPr>
      <t xml:space="preserve">Low: </t>
    </r>
    <r>
      <rPr>
        <sz val="12"/>
        <color theme="1"/>
        <rFont val="Times New Roman"/>
        <family val="1"/>
      </rPr>
      <t>The farm will generate less than 40 FTE years/GW during construction in the local community.</t>
    </r>
  </si>
  <si>
    <r>
      <rPr>
        <sz val="12"/>
        <color rgb="FF00B050"/>
        <rFont val="Times New Roman"/>
        <family val="1"/>
      </rPr>
      <t>High:</t>
    </r>
    <r>
      <rPr>
        <b/>
        <sz val="12"/>
        <color rgb="FF00B050"/>
        <rFont val="Times New Roman"/>
        <family val="1"/>
      </rPr>
      <t xml:space="preserve"> </t>
    </r>
    <r>
      <rPr>
        <sz val="12"/>
        <rFont val="Times New Roman"/>
        <family val="1"/>
      </rPr>
      <t xml:space="preserve">The farm will generate more than 50 FTE/GW lasting the lifetime of the farm in the local community.
</t>
    </r>
    <r>
      <rPr>
        <sz val="12"/>
        <color theme="1"/>
        <rFont val="Times New Roman"/>
        <family val="1"/>
      </rPr>
      <t xml:space="preserve">
</t>
    </r>
    <r>
      <rPr>
        <sz val="12"/>
        <color rgb="FFFFC000"/>
        <rFont val="Times New Roman"/>
        <family val="1"/>
      </rPr>
      <t>Med:</t>
    </r>
    <r>
      <rPr>
        <sz val="12"/>
        <color theme="1"/>
        <rFont val="Times New Roman"/>
        <family val="1"/>
      </rPr>
      <t xml:space="preserve"> The farm will generate 20</t>
    </r>
    <r>
      <rPr>
        <sz val="12"/>
        <color theme="1"/>
        <rFont val="Calibri"/>
        <family val="2"/>
      </rPr>
      <t>–</t>
    </r>
    <r>
      <rPr>
        <sz val="12"/>
        <color theme="1"/>
        <rFont val="Times New Roman"/>
        <family val="1"/>
      </rPr>
      <t xml:space="preserve">50 FTE/GW lasting the lifetime of the farm in the local community.
</t>
    </r>
    <r>
      <rPr>
        <sz val="12"/>
        <color rgb="FFFF0000"/>
        <rFont val="Times New Roman"/>
        <family val="1"/>
      </rPr>
      <t xml:space="preserve">Low: </t>
    </r>
    <r>
      <rPr>
        <sz val="12"/>
        <rFont val="Times New Roman"/>
        <family val="1"/>
      </rPr>
      <t xml:space="preserve">The </t>
    </r>
    <r>
      <rPr>
        <sz val="12"/>
        <color theme="1"/>
        <rFont val="Times New Roman"/>
        <family val="1"/>
      </rPr>
      <t>farm will generate less than 20 FTE/GW lasting the lifetime of the farm in the local community.</t>
    </r>
  </si>
  <si>
    <r>
      <rPr>
        <sz val="12"/>
        <color rgb="FF00B050"/>
        <rFont val="Times New Roman"/>
        <family val="1"/>
      </rPr>
      <t>High:</t>
    </r>
    <r>
      <rPr>
        <b/>
        <sz val="12"/>
        <color rgb="FF00B050"/>
        <rFont val="Times New Roman"/>
        <family val="1"/>
      </rPr>
      <t xml:space="preserve"> </t>
    </r>
    <r>
      <rPr>
        <sz val="12"/>
        <color theme="1"/>
        <rFont val="Times New Roman"/>
        <family val="1"/>
      </rPr>
      <t xml:space="preserve">Less than 2 years in a 20-kW/m resource.
 </t>
    </r>
    <r>
      <rPr>
        <sz val="12"/>
        <rFont val="Times New Roman"/>
        <family val="1"/>
      </rPr>
      <t xml:space="preserve"> </t>
    </r>
    <r>
      <rPr>
        <sz val="12"/>
        <color theme="1"/>
        <rFont val="Times New Roman"/>
        <family val="1"/>
      </rPr>
      <t xml:space="preserve">
</t>
    </r>
    <r>
      <rPr>
        <sz val="12"/>
        <color rgb="FFFFC000"/>
        <rFont val="Times New Roman"/>
        <family val="1"/>
      </rPr>
      <t>Med:</t>
    </r>
    <r>
      <rPr>
        <sz val="12"/>
        <color theme="1"/>
        <rFont val="Times New Roman"/>
        <family val="1"/>
      </rPr>
      <t xml:space="preserve"> Less than 3 years in a 25-kW/m resource.
</t>
    </r>
    <r>
      <rPr>
        <sz val="12"/>
        <color rgb="FFFF0000"/>
        <rFont val="Times New Roman"/>
        <family val="1"/>
      </rPr>
      <t xml:space="preserve">Low: </t>
    </r>
    <r>
      <rPr>
        <sz val="12"/>
        <color theme="1"/>
        <rFont val="Times New Roman"/>
        <family val="1"/>
      </rPr>
      <t xml:space="preserve">More than 4 years in a 25-kW/m resource. </t>
    </r>
  </si>
  <si>
    <r>
      <rPr>
        <sz val="12"/>
        <color rgb="FF00B050"/>
        <rFont val="Times New Roman"/>
        <family val="1"/>
      </rPr>
      <t>High:</t>
    </r>
    <r>
      <rPr>
        <b/>
        <sz val="12"/>
        <color rgb="FF00B050"/>
        <rFont val="Times New Roman"/>
        <family val="1"/>
      </rPr>
      <t xml:space="preserve"> </t>
    </r>
    <r>
      <rPr>
        <sz val="12"/>
        <color theme="1"/>
        <rFont val="Times New Roman"/>
        <family val="1"/>
      </rPr>
      <t xml:space="preserve">Nearly all (less than 10% not recyclable) 
</t>
    </r>
    <r>
      <rPr>
        <sz val="12"/>
        <color rgb="FFFFC000"/>
        <rFont val="Times New Roman"/>
        <family val="1"/>
      </rPr>
      <t>Med:</t>
    </r>
    <r>
      <rPr>
        <sz val="12"/>
        <color theme="1"/>
        <rFont val="Times New Roman"/>
        <family val="1"/>
      </rPr>
      <t xml:space="preserve"> Most of it (more than 70% by weight) 
</t>
    </r>
    <r>
      <rPr>
        <sz val="12"/>
        <color rgb="FFFF0000"/>
        <rFont val="Times New Roman"/>
        <family val="1"/>
      </rPr>
      <t xml:space="preserve">Low: </t>
    </r>
    <r>
      <rPr>
        <sz val="12"/>
        <color theme="1"/>
        <rFont val="Times New Roman"/>
        <family val="1"/>
      </rPr>
      <t xml:space="preserve">Less than 70% by weight </t>
    </r>
  </si>
  <si>
    <r>
      <rPr>
        <sz val="12"/>
        <color rgb="FF00B050"/>
        <rFont val="Times New Roman"/>
        <family val="1"/>
      </rPr>
      <t>High:</t>
    </r>
    <r>
      <rPr>
        <b/>
        <sz val="12"/>
        <color rgb="FF00B050"/>
        <rFont val="Times New Roman"/>
        <family val="1"/>
      </rPr>
      <t xml:space="preserve"> </t>
    </r>
    <r>
      <rPr>
        <sz val="12"/>
        <rFont val="Times New Roman"/>
        <family val="1"/>
      </rPr>
      <t xml:space="preserve">25 years
 </t>
    </r>
    <r>
      <rPr>
        <sz val="12"/>
        <color theme="1"/>
        <rFont val="Times New Roman"/>
        <family val="1"/>
      </rPr>
      <t xml:space="preserve">
</t>
    </r>
    <r>
      <rPr>
        <sz val="12"/>
        <color rgb="FFFFC000"/>
        <rFont val="Times New Roman"/>
        <family val="1"/>
      </rPr>
      <t>Med:</t>
    </r>
    <r>
      <rPr>
        <sz val="12"/>
        <color theme="1"/>
        <rFont val="Times New Roman"/>
        <family val="1"/>
      </rPr>
      <t xml:space="preserve"> 20 years
</t>
    </r>
    <r>
      <rPr>
        <sz val="12"/>
        <color rgb="FFFF0000"/>
        <rFont val="Times New Roman"/>
        <family val="1"/>
      </rPr>
      <t xml:space="preserve">Low: </t>
    </r>
    <r>
      <rPr>
        <sz val="12"/>
        <color theme="1"/>
        <rFont val="Times New Roman"/>
        <family val="1"/>
      </rPr>
      <t xml:space="preserve">15 years </t>
    </r>
  </si>
  <si>
    <r>
      <rPr>
        <sz val="12"/>
        <color rgb="FF00B050"/>
        <rFont val="Times New Roman"/>
        <family val="1"/>
      </rPr>
      <t>High:</t>
    </r>
    <r>
      <rPr>
        <b/>
        <sz val="12"/>
        <color rgb="FF00B050"/>
        <rFont val="Times New Roman"/>
        <family val="1"/>
      </rPr>
      <t xml:space="preserve"> </t>
    </r>
    <r>
      <rPr>
        <sz val="12"/>
        <rFont val="Times New Roman"/>
        <family val="1"/>
      </rPr>
      <t xml:space="preserve">The system is benign and can be deployed without restriction for environmental impact.
</t>
    </r>
    <r>
      <rPr>
        <sz val="12"/>
        <color theme="1"/>
        <rFont val="Times New Roman"/>
        <family val="1"/>
      </rPr>
      <t xml:space="preserve">
</t>
    </r>
    <r>
      <rPr>
        <sz val="12"/>
        <color rgb="FFFFC000"/>
        <rFont val="Times New Roman"/>
        <family val="1"/>
      </rPr>
      <t>Med:</t>
    </r>
    <r>
      <rPr>
        <sz val="12"/>
        <color theme="1"/>
        <rFont val="Times New Roman"/>
        <family val="1"/>
      </rPr>
      <t xml:space="preserve"> The system is not completely benign, but impacts are minor and of only one type, such as sediment impact or noise, that is acceptable in most locations.
</t>
    </r>
    <r>
      <rPr>
        <sz val="12"/>
        <color rgb="FFFF0000"/>
        <rFont val="Times New Roman"/>
        <family val="1"/>
      </rPr>
      <t xml:space="preserve">Low: </t>
    </r>
    <r>
      <rPr>
        <sz val="12"/>
        <color theme="1"/>
        <rFont val="Times New Roman"/>
        <family val="1"/>
      </rPr>
      <t>The system will have an impact in several ways, or the impact will likely require mitigation or eliminate many sites.</t>
    </r>
  </si>
  <si>
    <r>
      <rPr>
        <sz val="12"/>
        <color rgb="FF00B050"/>
        <rFont val="Times New Roman"/>
        <family val="1"/>
      </rPr>
      <t>High:</t>
    </r>
    <r>
      <rPr>
        <b/>
        <sz val="12"/>
        <color rgb="FF00B050"/>
        <rFont val="Times New Roman"/>
        <family val="1"/>
      </rPr>
      <t xml:space="preserve"> </t>
    </r>
    <r>
      <rPr>
        <sz val="12"/>
        <rFont val="Times New Roman"/>
        <family val="1"/>
      </rPr>
      <t xml:space="preserve">The system presents no threat to birds, fish, or marine mammals.
</t>
    </r>
    <r>
      <rPr>
        <b/>
        <sz val="12"/>
        <color rgb="FF00B050"/>
        <rFont val="Times New Roman"/>
        <family val="1"/>
      </rPr>
      <t xml:space="preserve">
</t>
    </r>
    <r>
      <rPr>
        <sz val="12"/>
        <color rgb="FFFFC000"/>
        <rFont val="Times New Roman"/>
        <family val="1"/>
      </rPr>
      <t>Med:</t>
    </r>
    <r>
      <rPr>
        <sz val="12"/>
        <color rgb="FF00B050"/>
        <rFont val="Times New Roman"/>
        <family val="1"/>
      </rPr>
      <t xml:space="preserve"> </t>
    </r>
    <r>
      <rPr>
        <sz val="12"/>
        <rFont val="Times New Roman"/>
        <family val="1"/>
      </rPr>
      <t xml:space="preserve">The system presents minor threat to marine mammals, such as potential injury to whales from impacting cables.
</t>
    </r>
    <r>
      <rPr>
        <b/>
        <sz val="12"/>
        <color rgb="FF00B050"/>
        <rFont val="Times New Roman"/>
        <family val="1"/>
      </rPr>
      <t xml:space="preserve">
</t>
    </r>
    <r>
      <rPr>
        <sz val="12"/>
        <color rgb="FFFF0000"/>
        <rFont val="Times New Roman"/>
        <family val="1"/>
      </rPr>
      <t>Low:</t>
    </r>
    <r>
      <rPr>
        <b/>
        <sz val="12"/>
        <color rgb="FF00B050"/>
        <rFont val="Times New Roman"/>
        <family val="1"/>
      </rPr>
      <t xml:space="preserve"> </t>
    </r>
    <r>
      <rPr>
        <sz val="12"/>
        <rFont val="Times New Roman"/>
        <family val="1"/>
      </rPr>
      <t xml:space="preserve">The system presents more than a minor threat to marine mammals, fish, or birds or interferes with migration because of high noise levels. </t>
    </r>
  </si>
  <si>
    <r>
      <rPr>
        <sz val="12"/>
        <color rgb="FF00B050"/>
        <rFont val="Times New Roman"/>
        <family val="1"/>
      </rPr>
      <t>High:</t>
    </r>
    <r>
      <rPr>
        <b/>
        <sz val="12"/>
        <color rgb="FF00B050"/>
        <rFont val="Times New Roman"/>
        <family val="1"/>
      </rPr>
      <t xml:space="preserve"> </t>
    </r>
    <r>
      <rPr>
        <sz val="12"/>
        <rFont val="Times New Roman"/>
        <family val="1"/>
      </rPr>
      <t>The farm can coexist with the majority of potential users of any area (e.g., WECs are below the surface and will not affect surface use, or surface WECs will not require a large area exclusion zone).</t>
    </r>
    <r>
      <rPr>
        <sz val="12"/>
        <color theme="1"/>
        <rFont val="Times New Roman"/>
        <family val="1"/>
      </rPr>
      <t xml:space="preserve">
</t>
    </r>
    <r>
      <rPr>
        <b/>
        <sz val="12"/>
        <color rgb="FFFFC000"/>
        <rFont val="Times New Roman"/>
        <family val="1"/>
      </rPr>
      <t xml:space="preserve">
</t>
    </r>
    <r>
      <rPr>
        <sz val="12"/>
        <color rgb="FFFFC000"/>
        <rFont val="Times New Roman"/>
        <family val="1"/>
      </rPr>
      <t>Med:</t>
    </r>
    <r>
      <rPr>
        <sz val="12"/>
        <color theme="1"/>
        <rFont val="Times New Roman"/>
        <family val="1"/>
      </rPr>
      <t xml:space="preserve"> The farm will restrict multiple users but not extensively (e.g., the WEC devices will be separated to allow many types of users to go through the installation), or it will affect some users significantly but not affect other users. 
</t>
    </r>
    <r>
      <rPr>
        <sz val="12"/>
        <color rgb="FFFF0000"/>
        <rFont val="Times New Roman"/>
        <family val="1"/>
      </rPr>
      <t xml:space="preserve">Low: </t>
    </r>
    <r>
      <rPr>
        <sz val="12"/>
        <color theme="1"/>
        <rFont val="Times New Roman"/>
        <family val="1"/>
      </rPr>
      <t xml:space="preserve">The farm will restrict multiple users, and the area of restriction will include the entire site. </t>
    </r>
  </si>
  <si>
    <r>
      <rPr>
        <sz val="12"/>
        <color rgb="FF00B050"/>
        <rFont val="Times New Roman"/>
        <family val="1"/>
      </rPr>
      <t>High:</t>
    </r>
    <r>
      <rPr>
        <b/>
        <sz val="12"/>
        <color rgb="FF00B050"/>
        <rFont val="Times New Roman"/>
        <family val="1"/>
      </rPr>
      <t xml:space="preserve"> </t>
    </r>
    <r>
      <rPr>
        <sz val="12"/>
        <color theme="1"/>
        <rFont val="Times New Roman"/>
        <family val="1"/>
      </rPr>
      <t>1X10</t>
    </r>
    <r>
      <rPr>
        <vertAlign val="superscript"/>
        <sz val="12"/>
        <color theme="1"/>
        <rFont val="Times New Roman"/>
        <family val="1"/>
      </rPr>
      <t>4</t>
    </r>
    <r>
      <rPr>
        <sz val="12"/>
        <color theme="1"/>
        <rFont val="Times New Roman"/>
        <family val="1"/>
      </rPr>
      <t xml:space="preserve"> m</t>
    </r>
    <r>
      <rPr>
        <vertAlign val="superscript"/>
        <sz val="12"/>
        <color theme="1"/>
        <rFont val="Times New Roman"/>
        <family val="1"/>
      </rPr>
      <t>2</t>
    </r>
    <r>
      <rPr>
        <sz val="12"/>
        <color theme="1"/>
        <rFont val="Times New Roman"/>
        <family val="1"/>
      </rPr>
      <t xml:space="preserve">/MW 
</t>
    </r>
    <r>
      <rPr>
        <sz val="12"/>
        <color rgb="FFFFC000"/>
        <rFont val="Times New Roman"/>
        <family val="1"/>
      </rPr>
      <t>Med:</t>
    </r>
    <r>
      <rPr>
        <b/>
        <sz val="12"/>
        <color theme="1"/>
        <rFont val="Times New Roman"/>
        <family val="1"/>
      </rPr>
      <t xml:space="preserve"> </t>
    </r>
    <r>
      <rPr>
        <sz val="12"/>
        <color theme="1"/>
        <rFont val="Times New Roman"/>
        <family val="1"/>
      </rPr>
      <t>9X10</t>
    </r>
    <r>
      <rPr>
        <vertAlign val="superscript"/>
        <sz val="12"/>
        <color theme="1"/>
        <rFont val="Times New Roman"/>
        <family val="1"/>
      </rPr>
      <t>4</t>
    </r>
    <r>
      <rPr>
        <sz val="12"/>
        <color theme="1"/>
        <rFont val="Times New Roman"/>
        <family val="1"/>
      </rPr>
      <t xml:space="preserve"> m</t>
    </r>
    <r>
      <rPr>
        <vertAlign val="superscript"/>
        <sz val="12"/>
        <color theme="1"/>
        <rFont val="Times New Roman"/>
        <family val="1"/>
      </rPr>
      <t>2</t>
    </r>
    <r>
      <rPr>
        <sz val="12"/>
        <color theme="1"/>
        <rFont val="Times New Roman"/>
        <family val="1"/>
      </rPr>
      <t xml:space="preserve">/MW 
</t>
    </r>
    <r>
      <rPr>
        <sz val="12"/>
        <color rgb="FFFF0000"/>
        <rFont val="Times New Roman"/>
        <family val="1"/>
      </rPr>
      <t xml:space="preserve">Low: </t>
    </r>
    <r>
      <rPr>
        <sz val="12"/>
        <color theme="1"/>
        <rFont val="Times New Roman"/>
        <family val="1"/>
      </rPr>
      <t>36X10</t>
    </r>
    <r>
      <rPr>
        <vertAlign val="superscript"/>
        <sz val="12"/>
        <color theme="1"/>
        <rFont val="Times New Roman"/>
        <family val="1"/>
      </rPr>
      <t>4</t>
    </r>
    <r>
      <rPr>
        <sz val="12"/>
        <color theme="1"/>
        <rFont val="Times New Roman"/>
        <family val="1"/>
      </rPr>
      <t xml:space="preserve"> m</t>
    </r>
    <r>
      <rPr>
        <vertAlign val="superscript"/>
        <sz val="12"/>
        <color theme="1"/>
        <rFont val="Times New Roman"/>
        <family val="1"/>
      </rPr>
      <t>2</t>
    </r>
    <r>
      <rPr>
        <sz val="12"/>
        <color theme="1"/>
        <rFont val="Times New Roman"/>
        <family val="1"/>
      </rPr>
      <t xml:space="preserve">/MW </t>
    </r>
  </si>
  <si>
    <r>
      <rPr>
        <sz val="12"/>
        <color rgb="FF00B050"/>
        <rFont val="Times New Roman"/>
        <family val="1"/>
      </rPr>
      <t>High:</t>
    </r>
    <r>
      <rPr>
        <b/>
        <sz val="12"/>
        <color rgb="FF00B050"/>
        <rFont val="Times New Roman"/>
        <family val="1"/>
      </rPr>
      <t xml:space="preserve"> </t>
    </r>
    <r>
      <rPr>
        <sz val="12"/>
        <color theme="1"/>
        <rFont val="Times New Roman"/>
        <family val="1"/>
      </rPr>
      <t xml:space="preserve">Safety philosophy is incorporated and adequate.
</t>
    </r>
    <r>
      <rPr>
        <sz val="12"/>
        <color rgb="FFFFC000"/>
        <rFont val="Times New Roman"/>
        <family val="1"/>
      </rPr>
      <t>Med:</t>
    </r>
    <r>
      <rPr>
        <sz val="12"/>
        <color theme="1"/>
        <rFont val="Times New Roman"/>
        <family val="1"/>
      </rPr>
      <t xml:space="preserve"> Some safety aspects have been considered and are adequate, but some areas need improvement.
</t>
    </r>
    <r>
      <rPr>
        <sz val="12"/>
        <color rgb="FFFF0000"/>
        <rFont val="Times New Roman"/>
        <family val="1"/>
      </rPr>
      <t xml:space="preserve">Low: </t>
    </r>
    <r>
      <rPr>
        <sz val="12"/>
        <color theme="1"/>
        <rFont val="Times New Roman"/>
        <family val="1"/>
      </rPr>
      <t>Safety philosophy is not incorporated or is generally inadequate.</t>
    </r>
  </si>
  <si>
    <r>
      <rPr>
        <sz val="12"/>
        <color rgb="FF00B050"/>
        <rFont val="Times New Roman"/>
        <family val="1"/>
      </rPr>
      <t xml:space="preserve">High: </t>
    </r>
    <r>
      <rPr>
        <sz val="12"/>
        <color theme="1"/>
        <rFont val="Times New Roman"/>
        <family val="1"/>
      </rPr>
      <t xml:space="preserve">All activities are well understood, and adequate safety systems and procedures have been documented. No access to dangerous parts is available to third parties. The risk to human health and safety is low.
</t>
    </r>
    <r>
      <rPr>
        <sz val="12"/>
        <color rgb="FFFFC000"/>
        <rFont val="Times New Roman"/>
        <family val="1"/>
      </rPr>
      <t>Med:</t>
    </r>
    <r>
      <rPr>
        <sz val="12"/>
        <color theme="1"/>
        <rFont val="Times New Roman"/>
        <family val="1"/>
      </rPr>
      <t xml:space="preserve"> All activities include documented safe operating procedures, but one or more activities is novel and not yet well understood or access to dangerous parts by third parties is discouraged but can’t be prevented. There is a medium threat to human health and safety.
</t>
    </r>
    <r>
      <rPr>
        <sz val="12"/>
        <color rgb="FFFF0000"/>
        <rFont val="Times New Roman"/>
        <family val="1"/>
      </rPr>
      <t xml:space="preserve">Low: </t>
    </r>
    <r>
      <rPr>
        <sz val="12"/>
        <color theme="1"/>
        <rFont val="Times New Roman"/>
        <family val="1"/>
      </rPr>
      <t>Human health and safety are not considered, or operation and maintenance procedures do not have adequate safety guidance. The risk is high.</t>
    </r>
  </si>
  <si>
    <r>
      <rPr>
        <sz val="12"/>
        <color rgb="FF00B050"/>
        <rFont val="Times New Roman"/>
        <family val="1"/>
      </rPr>
      <t>High:</t>
    </r>
    <r>
      <rPr>
        <b/>
        <sz val="12"/>
        <color rgb="FF00B050"/>
        <rFont val="Times New Roman"/>
        <family val="1"/>
      </rPr>
      <t xml:space="preserve"> </t>
    </r>
    <r>
      <rPr>
        <sz val="12"/>
        <rFont val="Times New Roman"/>
        <family val="1"/>
      </rPr>
      <t xml:space="preserve">The device can be serviced in Sea State 4 and greater. Maintenance methodologies are such that adequate safety is provided when using commonly available vessels and equipment within their standard weather windows.
</t>
    </r>
    <r>
      <rPr>
        <sz val="12"/>
        <color theme="1"/>
        <rFont val="Times New Roman"/>
        <family val="1"/>
      </rPr>
      <t xml:space="preserve">
</t>
    </r>
    <r>
      <rPr>
        <sz val="12"/>
        <color rgb="FFFFC000"/>
        <rFont val="Times New Roman"/>
        <family val="1"/>
      </rPr>
      <t>Med:</t>
    </r>
    <r>
      <rPr>
        <sz val="12"/>
        <color theme="1"/>
        <rFont val="Times New Roman"/>
        <family val="1"/>
      </rPr>
      <t xml:space="preserve"> The device can be serviced in Sea State 3 or less. Maintenance methodologies are such that adequate safety is only provided when using commonly available vessels and equipment with more stringent weather window criteria.
</t>
    </r>
    <r>
      <rPr>
        <sz val="12"/>
        <color rgb="FFFF0000"/>
        <rFont val="Times New Roman"/>
        <family val="1"/>
      </rPr>
      <t xml:space="preserve">Low: </t>
    </r>
    <r>
      <rPr>
        <sz val="12"/>
        <color theme="1"/>
        <rFont val="Times New Roman"/>
        <family val="1"/>
      </rPr>
      <t>The device can be serviced in Sea State 2 or less. Maintenance proposed methodologies are fundamentally unsafe or are not developed and specified.</t>
    </r>
  </si>
  <si>
    <r>
      <rPr>
        <sz val="12"/>
        <color rgb="FF00B050"/>
        <rFont val="Times New Roman"/>
        <family val="1"/>
      </rPr>
      <t>High:</t>
    </r>
    <r>
      <rPr>
        <b/>
        <sz val="12"/>
        <color rgb="FF00B050"/>
        <rFont val="Times New Roman"/>
        <family val="1"/>
      </rPr>
      <t xml:space="preserve"> </t>
    </r>
    <r>
      <rPr>
        <sz val="12"/>
        <color theme="1"/>
        <rFont val="Times New Roman"/>
        <family val="1"/>
      </rPr>
      <t xml:space="preserve">No, or the enclosed space can safely support short-term habitation and has a safe means of egress.
</t>
    </r>
    <r>
      <rPr>
        <sz val="12"/>
        <color rgb="FFFFC000"/>
        <rFont val="Times New Roman"/>
        <family val="1"/>
      </rPr>
      <t>Med:</t>
    </r>
    <r>
      <rPr>
        <sz val="12"/>
        <color theme="1"/>
        <rFont val="Times New Roman"/>
        <family val="1"/>
      </rPr>
      <t xml:space="preserve"> Yes, for a few operations (less than one per 5 MW/year).
</t>
    </r>
    <r>
      <rPr>
        <sz val="12"/>
        <color rgb="FFFF0000"/>
        <rFont val="Times New Roman"/>
        <family val="1"/>
      </rPr>
      <t xml:space="preserve">Low: </t>
    </r>
    <r>
      <rPr>
        <sz val="12"/>
        <color theme="1"/>
        <rFont val="Times New Roman"/>
        <family val="1"/>
      </rPr>
      <t>Yes, several times per megawatt per year.</t>
    </r>
  </si>
  <si>
    <r>
      <rPr>
        <sz val="12"/>
        <color rgb="FF00B050"/>
        <rFont val="Times New Roman"/>
        <family val="1"/>
      </rPr>
      <t>High:</t>
    </r>
    <r>
      <rPr>
        <b/>
        <sz val="12"/>
        <color rgb="FF00B050"/>
        <rFont val="Times New Roman"/>
        <family val="1"/>
      </rPr>
      <t xml:space="preserve"> </t>
    </r>
    <r>
      <rPr>
        <sz val="12"/>
        <color theme="1"/>
        <rFont val="Times New Roman"/>
        <family val="1"/>
      </rPr>
      <t xml:space="preserve">No.
</t>
    </r>
    <r>
      <rPr>
        <sz val="12"/>
        <color rgb="FFFFC000"/>
        <rFont val="Times New Roman"/>
        <family val="1"/>
      </rPr>
      <t>Med:</t>
    </r>
    <r>
      <rPr>
        <sz val="12"/>
        <color theme="1"/>
        <rFont val="Times New Roman"/>
        <family val="1"/>
      </rPr>
      <t xml:space="preserve"> Yes, for a few exceptional operations (i.e., not every installation, not routine maintenance, but maybe for an infrequent type of maintenance intervention).
</t>
    </r>
    <r>
      <rPr>
        <sz val="12"/>
        <color rgb="FFFF0000"/>
        <rFont val="Times New Roman"/>
        <family val="1"/>
      </rPr>
      <t xml:space="preserve">Low: </t>
    </r>
    <r>
      <rPr>
        <sz val="12"/>
        <rFont val="Times New Roman"/>
        <family val="1"/>
      </rPr>
      <t>Yes, installation or several poten</t>
    </r>
    <r>
      <rPr>
        <sz val="12"/>
        <color theme="1"/>
        <rFont val="Times New Roman"/>
        <family val="1"/>
      </rPr>
      <t xml:space="preserve">tial maintenance operations require divers. </t>
    </r>
  </si>
  <si>
    <r>
      <rPr>
        <sz val="12"/>
        <color rgb="FF00B050"/>
        <rFont val="Times New Roman"/>
        <family val="1"/>
      </rPr>
      <t>High:</t>
    </r>
    <r>
      <rPr>
        <b/>
        <sz val="12"/>
        <color rgb="FF00B050"/>
        <rFont val="Times New Roman"/>
        <family val="1"/>
      </rPr>
      <t xml:space="preserve"> </t>
    </r>
    <r>
      <rPr>
        <sz val="12"/>
        <color theme="1"/>
        <rFont val="Times New Roman"/>
        <family val="1"/>
      </rPr>
      <t xml:space="preserve">Requirements for lifting have been designed out, or lifting only requires a light load, and load control has been developed into the maintenance plan.
</t>
    </r>
    <r>
      <rPr>
        <sz val="12"/>
        <color rgb="FFFFC000"/>
        <rFont val="Times New Roman"/>
        <family val="1"/>
      </rPr>
      <t>Med:</t>
    </r>
    <r>
      <rPr>
        <sz val="12"/>
        <color theme="1"/>
        <rFont val="Times New Roman"/>
        <family val="1"/>
      </rPr>
      <t xml:space="preserve"> Yes, for a few exceptional operations (i.e., not every installation, not routine maintenance, but maybe for an infrequent type of maintenance intervention).
</t>
    </r>
    <r>
      <rPr>
        <sz val="12"/>
        <color rgb="FFFF0000"/>
        <rFont val="Times New Roman"/>
        <family val="1"/>
      </rPr>
      <t xml:space="preserve">Low: </t>
    </r>
    <r>
      <rPr>
        <sz val="12"/>
        <color theme="1"/>
        <rFont val="Times New Roman"/>
        <family val="1"/>
      </rPr>
      <t>Yes, installation or several expected maintenance operations require crane lifts at sea.</t>
    </r>
  </si>
  <si>
    <r>
      <rPr>
        <sz val="12"/>
        <color rgb="FF00B050"/>
        <rFont val="Times New Roman"/>
        <family val="1"/>
      </rPr>
      <t>High:</t>
    </r>
    <r>
      <rPr>
        <b/>
        <sz val="12"/>
        <color rgb="FF00B050"/>
        <rFont val="Times New Roman"/>
        <family val="1"/>
      </rPr>
      <t xml:space="preserve"> </t>
    </r>
    <r>
      <rPr>
        <sz val="12"/>
        <rFont val="Times New Roman"/>
        <family val="1"/>
      </rPr>
      <t xml:space="preserve">WECs with surface expression that are subject to the large energy in the forcing environment are designed to decouple (i.e., load shed, submerge), or the WEC has no surface expression.
  </t>
    </r>
    <r>
      <rPr>
        <sz val="12"/>
        <color theme="1"/>
        <rFont val="Times New Roman"/>
        <family val="1"/>
      </rPr>
      <t xml:space="preserve">
</t>
    </r>
    <r>
      <rPr>
        <sz val="12"/>
        <color rgb="FFFFC000"/>
        <rFont val="Times New Roman"/>
        <family val="1"/>
      </rPr>
      <t>Med:</t>
    </r>
    <r>
      <rPr>
        <sz val="12"/>
        <color theme="1"/>
        <rFont val="Times New Roman"/>
        <family val="1"/>
      </rPr>
      <t xml:space="preserve"> WECs possess only minimal surface expression, they possess a limited-scope decoupling mechanism, or the shape limits extreme loads and allows sufficient structural reinforcement in the design.
</t>
    </r>
    <r>
      <rPr>
        <sz val="12"/>
        <color rgb="FFFF0000"/>
        <rFont val="Times New Roman"/>
        <family val="1"/>
      </rPr>
      <t xml:space="preserve">Low: </t>
    </r>
    <r>
      <rPr>
        <sz val="12"/>
        <color theme="1"/>
        <rFont val="Times New Roman"/>
        <family val="1"/>
      </rPr>
      <t>WECs with surface expression are subject to the large energy in the forcing environment because they have no special coping mechanisms.</t>
    </r>
  </si>
  <si>
    <r>
      <rPr>
        <sz val="12"/>
        <color rgb="FF00B050"/>
        <rFont val="Times New Roman"/>
        <family val="1"/>
      </rPr>
      <t>High:</t>
    </r>
    <r>
      <rPr>
        <b/>
        <sz val="12"/>
        <color rgb="FF00B050"/>
        <rFont val="Times New Roman"/>
        <family val="1"/>
      </rPr>
      <t xml:space="preserve"> </t>
    </r>
    <r>
      <rPr>
        <sz val="12"/>
        <rFont val="Times New Roman"/>
        <family val="1"/>
      </rPr>
      <t>High safety class &lt;10</t>
    </r>
    <r>
      <rPr>
        <vertAlign val="superscript"/>
        <sz val="12"/>
        <rFont val="Times New Roman"/>
        <family val="1"/>
      </rPr>
      <t>-4</t>
    </r>
    <r>
      <rPr>
        <sz val="12"/>
        <rFont val="Times New Roman"/>
        <family val="1"/>
      </rPr>
      <t xml:space="preserve"> losses/annum
</t>
    </r>
    <r>
      <rPr>
        <sz val="12"/>
        <color theme="1"/>
        <rFont val="Times New Roman"/>
        <family val="1"/>
      </rPr>
      <t xml:space="preserve">
</t>
    </r>
    <r>
      <rPr>
        <sz val="12"/>
        <color rgb="FFFFC000"/>
        <rFont val="Times New Roman"/>
        <family val="1"/>
      </rPr>
      <t>Med:</t>
    </r>
    <r>
      <rPr>
        <sz val="12"/>
        <color theme="1"/>
        <rFont val="Times New Roman"/>
        <family val="1"/>
      </rPr>
      <t xml:space="preserve"> Between high and low
</t>
    </r>
    <r>
      <rPr>
        <b/>
        <sz val="12"/>
        <color rgb="FFFF0000"/>
        <rFont val="Times New Roman"/>
        <family val="1"/>
      </rPr>
      <t xml:space="preserve">
</t>
    </r>
    <r>
      <rPr>
        <sz val="12"/>
        <color rgb="FFFF0000"/>
        <rFont val="Times New Roman"/>
        <family val="1"/>
      </rPr>
      <t xml:space="preserve">Low: </t>
    </r>
    <r>
      <rPr>
        <sz val="12"/>
        <color theme="1"/>
        <rFont val="Times New Roman"/>
        <family val="1"/>
      </rPr>
      <t xml:space="preserve">Low safety class </t>
    </r>
    <r>
      <rPr>
        <sz val="12"/>
        <rFont val="Times New Roman"/>
        <family val="1"/>
      </rPr>
      <t>&gt;</t>
    </r>
    <r>
      <rPr>
        <sz val="12"/>
        <color theme="1"/>
        <rFont val="Times New Roman"/>
        <family val="1"/>
      </rPr>
      <t>10</t>
    </r>
    <r>
      <rPr>
        <vertAlign val="superscript"/>
        <sz val="12"/>
        <color theme="1"/>
        <rFont val="Times New Roman"/>
        <family val="1"/>
      </rPr>
      <t>-3</t>
    </r>
    <r>
      <rPr>
        <sz val="12"/>
        <color theme="1"/>
        <rFont val="Times New Roman"/>
        <family val="1"/>
      </rPr>
      <t xml:space="preserve"> losses/annum</t>
    </r>
  </si>
  <si>
    <r>
      <rPr>
        <sz val="12"/>
        <color rgb="FF00B050"/>
        <rFont val="Times New Roman"/>
        <family val="1"/>
      </rPr>
      <t>High:</t>
    </r>
    <r>
      <rPr>
        <b/>
        <sz val="12"/>
        <color rgb="FF00B050"/>
        <rFont val="Times New Roman"/>
        <family val="1"/>
      </rPr>
      <t xml:space="preserve"> </t>
    </r>
    <r>
      <rPr>
        <sz val="12"/>
        <rFont val="Times New Roman"/>
        <family val="1"/>
      </rPr>
      <t xml:space="preserve">No components are expected to experience increased failure rates due to loss of grid.
</t>
    </r>
    <r>
      <rPr>
        <sz val="12"/>
        <color rgb="FFFFC000"/>
        <rFont val="Times New Roman"/>
        <family val="1"/>
      </rPr>
      <t>Med:</t>
    </r>
    <r>
      <rPr>
        <sz val="12"/>
        <color theme="1"/>
        <rFont val="Times New Roman"/>
        <family val="1"/>
      </rPr>
      <t xml:space="preserve"> There is some increase of risk of minor failure as a result of loss of grid.
</t>
    </r>
    <r>
      <rPr>
        <sz val="12"/>
        <color rgb="FFFF0000"/>
        <rFont val="Times New Roman"/>
        <family val="1"/>
      </rPr>
      <t xml:space="preserve">Low: </t>
    </r>
    <r>
      <rPr>
        <sz val="12"/>
        <color theme="1"/>
        <rFont val="Times New Roman"/>
        <family val="1"/>
      </rPr>
      <t>There is significant increased risk of even minor failures due to loss of grid.</t>
    </r>
  </si>
  <si>
    <r>
      <rPr>
        <sz val="12"/>
        <color rgb="FF00B050"/>
        <rFont val="Times New Roman"/>
        <family val="1"/>
      </rPr>
      <t xml:space="preserve">High: </t>
    </r>
    <r>
      <rPr>
        <sz val="12"/>
        <rFont val="Times New Roman"/>
        <family val="1"/>
      </rPr>
      <t xml:space="preserve">Yes, the WEC is inherently safe or transitions to a safe state automatically with loss of grid and can stay in that safe state indefinitely.
</t>
    </r>
    <r>
      <rPr>
        <sz val="12"/>
        <color theme="1"/>
        <rFont val="Times New Roman"/>
        <family val="1"/>
      </rPr>
      <t xml:space="preserve">
</t>
    </r>
    <r>
      <rPr>
        <sz val="12"/>
        <color rgb="FFFFC000"/>
        <rFont val="Times New Roman"/>
        <family val="1"/>
      </rPr>
      <t>Med:</t>
    </r>
    <r>
      <rPr>
        <sz val="12"/>
        <color theme="1"/>
        <rFont val="Times New Roman"/>
        <family val="1"/>
      </rPr>
      <t xml:space="preserve"> Yes, but it can only maintain that safe state for several days.  
</t>
    </r>
    <r>
      <rPr>
        <sz val="12"/>
        <color rgb="FFFF0000"/>
        <rFont val="Times New Roman"/>
        <family val="1"/>
      </rPr>
      <t xml:space="preserve">Low: </t>
    </r>
    <r>
      <rPr>
        <sz val="12"/>
        <rFont val="Times New Roman"/>
        <family val="1"/>
      </rPr>
      <t xml:space="preserve">Loss of grid reduces the survivability of the WEC. </t>
    </r>
    <r>
      <rPr>
        <sz val="12"/>
        <color theme="1"/>
        <rFont val="Times New Roman"/>
        <family val="1"/>
      </rPr>
      <t xml:space="preserve">  </t>
    </r>
  </si>
  <si>
    <r>
      <rPr>
        <sz val="12"/>
        <color rgb="FF00B050"/>
        <rFont val="Times New Roman"/>
        <family val="1"/>
      </rPr>
      <t>High:</t>
    </r>
    <r>
      <rPr>
        <b/>
        <sz val="12"/>
        <color rgb="FF00B050"/>
        <rFont val="Times New Roman"/>
        <family val="1"/>
      </rPr>
      <t xml:space="preserve"> </t>
    </r>
    <r>
      <rPr>
        <sz val="12"/>
        <rFont val="Times New Roman"/>
        <family val="1"/>
      </rPr>
      <t xml:space="preserve">Yes (e.g., one WEC can power systems in other WECs).
  </t>
    </r>
    <r>
      <rPr>
        <sz val="12"/>
        <color theme="1"/>
        <rFont val="Times New Roman"/>
        <family val="1"/>
      </rPr>
      <t xml:space="preserve">
</t>
    </r>
    <r>
      <rPr>
        <sz val="12"/>
        <color rgb="FFFFC000"/>
        <rFont val="Times New Roman"/>
        <family val="1"/>
      </rPr>
      <t>Med:</t>
    </r>
    <r>
      <rPr>
        <sz val="12"/>
        <color theme="1"/>
        <rFont val="Times New Roman"/>
        <family val="1"/>
      </rPr>
      <t xml:space="preserve"> </t>
    </r>
    <r>
      <rPr>
        <sz val="12"/>
        <rFont val="Times New Roman"/>
        <family val="1"/>
      </rPr>
      <t xml:space="preserve">Yes, but it has limited capabilities in some critical system. </t>
    </r>
    <r>
      <rPr>
        <sz val="12"/>
        <color theme="1"/>
        <rFont val="Times New Roman"/>
        <family val="1"/>
      </rPr>
      <t xml:space="preserve"> 
</t>
    </r>
    <r>
      <rPr>
        <b/>
        <sz val="12"/>
        <color rgb="FFFF0000"/>
        <rFont val="Times New Roman"/>
        <family val="1"/>
      </rPr>
      <t xml:space="preserve">
</t>
    </r>
    <r>
      <rPr>
        <sz val="12"/>
        <color rgb="FFFF0000"/>
        <rFont val="Times New Roman"/>
        <family val="1"/>
      </rPr>
      <t xml:space="preserve">Low:  </t>
    </r>
    <r>
      <rPr>
        <sz val="12"/>
        <rFont val="Times New Roman"/>
        <family val="1"/>
      </rPr>
      <t xml:space="preserve">No. </t>
    </r>
    <r>
      <rPr>
        <sz val="12"/>
        <color theme="1"/>
        <rFont val="Times New Roman"/>
        <family val="1"/>
      </rPr>
      <t xml:space="preserve">  </t>
    </r>
  </si>
  <si>
    <r>
      <rPr>
        <sz val="12"/>
        <color rgb="FF00B050"/>
        <rFont val="Times New Roman"/>
        <family val="1"/>
      </rPr>
      <t xml:space="preserve">High: </t>
    </r>
    <r>
      <rPr>
        <sz val="12"/>
        <color theme="1"/>
        <rFont val="Times New Roman"/>
        <family val="1"/>
      </rPr>
      <t>The WEC is sufficiently submerged to avoid recreational boaters, or it has</t>
    </r>
    <r>
      <rPr>
        <sz val="12"/>
        <rFont val="Times New Roman"/>
        <family val="1"/>
      </rPr>
      <t xml:space="preserve"> the ability to attach light and radar reflectors when its surface structure is insufficient for radar identification in storm conditions.
</t>
    </r>
    <r>
      <rPr>
        <sz val="12"/>
        <color theme="1"/>
        <rFont val="Times New Roman"/>
        <family val="1"/>
      </rPr>
      <t xml:space="preserve">
</t>
    </r>
    <r>
      <rPr>
        <sz val="12"/>
        <color rgb="FFFFC000"/>
        <rFont val="Times New Roman"/>
        <family val="1"/>
      </rPr>
      <t>Med:</t>
    </r>
    <r>
      <rPr>
        <sz val="12"/>
        <color theme="1"/>
        <rFont val="Times New Roman"/>
        <family val="1"/>
      </rPr>
      <t xml:space="preserve"> The WEC represents a hazard to navigation but cannot directly integrate navigation aids and, thus, must use physically separate systems for identification, such as marker buoys. 
</t>
    </r>
    <r>
      <rPr>
        <sz val="12"/>
        <color rgb="FFFF0000"/>
        <rFont val="Times New Roman"/>
        <family val="1"/>
      </rPr>
      <t xml:space="preserve">Low: </t>
    </r>
    <r>
      <rPr>
        <sz val="12"/>
        <color theme="1"/>
        <rFont val="Times New Roman"/>
        <family val="1"/>
      </rPr>
      <t xml:space="preserve">The WEC represents a hazard to navigation and cannot use any means of identification in close proximity. This could include WECs with large watch circles that are submerged less that 3 m below the sea surface.  </t>
    </r>
  </si>
  <si>
    <r>
      <rPr>
        <sz val="12"/>
        <color rgb="FF00B050"/>
        <rFont val="Times New Roman"/>
        <family val="1"/>
      </rPr>
      <t xml:space="preserve">High: </t>
    </r>
    <r>
      <rPr>
        <sz val="12"/>
        <color theme="1"/>
        <rFont val="Times New Roman"/>
        <family val="1"/>
      </rPr>
      <t xml:space="preserve">The WEC outer structure makes a direct impact difficult (e.g., rounded surfaces make a glancing blow more likely), a compliant station-keeping system design allows the WEC to move during a collision, or the WEC is submerged so it isn't a hazard to navigation.
</t>
    </r>
    <r>
      <rPr>
        <sz val="12"/>
        <color rgb="FFFFC000"/>
        <rFont val="Times New Roman"/>
        <family val="1"/>
      </rPr>
      <t>Med:</t>
    </r>
    <r>
      <rPr>
        <sz val="12"/>
        <color theme="1"/>
        <rFont val="Times New Roman"/>
        <family val="1"/>
      </rPr>
      <t xml:space="preserve"> There is a low probability of direct collision, but it is possible, or a stiff but compliant station-keeping design is used (e.g., a taut mooring).
</t>
    </r>
    <r>
      <rPr>
        <sz val="12"/>
        <color rgb="FFFF0000"/>
        <rFont val="Times New Roman"/>
        <family val="1"/>
      </rPr>
      <t xml:space="preserve">Low: </t>
    </r>
    <r>
      <rPr>
        <sz val="12"/>
        <color theme="1"/>
        <rFont val="Times New Roman"/>
        <family val="1"/>
      </rPr>
      <t xml:space="preserve">Direct collisions are likely (e.g., large, flat surfaces) or a rigid station-keeping design results in a direct transference of impact forces to the WEC.  </t>
    </r>
  </si>
  <si>
    <r>
      <rPr>
        <sz val="12"/>
        <color rgb="FF00B050"/>
        <rFont val="Times New Roman"/>
        <family val="1"/>
      </rPr>
      <t>High:</t>
    </r>
    <r>
      <rPr>
        <b/>
        <sz val="12"/>
        <color rgb="FF00B050"/>
        <rFont val="Times New Roman"/>
        <family val="1"/>
      </rPr>
      <t xml:space="preserve"> </t>
    </r>
    <r>
      <rPr>
        <sz val="12"/>
        <color theme="1"/>
        <rFont val="Times New Roman"/>
        <family val="1"/>
      </rPr>
      <t xml:space="preserve">Same orientation or equally safe survival capability
</t>
    </r>
    <r>
      <rPr>
        <sz val="12"/>
        <color rgb="FFFFC000"/>
        <rFont val="Times New Roman"/>
        <family val="1"/>
      </rPr>
      <t>Med:</t>
    </r>
    <r>
      <rPr>
        <sz val="12"/>
        <color theme="1"/>
        <rFont val="Times New Roman"/>
        <family val="1"/>
      </rPr>
      <t xml:space="preserve"> Different orientation but safely and easily reoriented
</t>
    </r>
    <r>
      <rPr>
        <sz val="12"/>
        <color rgb="FFFF0000"/>
        <rFont val="Times New Roman"/>
        <family val="1"/>
      </rPr>
      <t xml:space="preserve">Low: </t>
    </r>
    <r>
      <rPr>
        <sz val="12"/>
        <color theme="1"/>
        <rFont val="Times New Roman"/>
        <family val="1"/>
      </rPr>
      <t>Different orientation that requires complex operation to be reoriented</t>
    </r>
  </si>
  <si>
    <r>
      <rPr>
        <sz val="12"/>
        <color rgb="FF00B050"/>
        <rFont val="Times New Roman"/>
        <family val="1"/>
      </rPr>
      <t>High:</t>
    </r>
    <r>
      <rPr>
        <b/>
        <sz val="12"/>
        <color rgb="FF00B050"/>
        <rFont val="Times New Roman"/>
        <family val="1"/>
      </rPr>
      <t xml:space="preserve"> </t>
    </r>
    <r>
      <rPr>
        <sz val="12"/>
        <rFont val="Times New Roman"/>
        <family val="1"/>
      </rPr>
      <t xml:space="preserve">All WEC subsystems and their components have safety margins for extreme load conditions and fatigue lives expected to exceed system life and are designed and approved for the environment they are operate in. Loads and conditions are well characterized. 
</t>
    </r>
    <r>
      <rPr>
        <sz val="12"/>
        <color theme="1"/>
        <rFont val="Times New Roman"/>
        <family val="1"/>
      </rPr>
      <t xml:space="preserve">
</t>
    </r>
    <r>
      <rPr>
        <sz val="12"/>
        <color rgb="FFFFC000"/>
        <rFont val="Times New Roman"/>
        <family val="1"/>
      </rPr>
      <t>Med:</t>
    </r>
    <r>
      <rPr>
        <sz val="12"/>
        <color theme="1"/>
        <rFont val="Times New Roman"/>
        <family val="1"/>
      </rPr>
      <t xml:space="preserve"> Same as high except the loads and conditions are not as well characterized.
</t>
    </r>
    <r>
      <rPr>
        <sz val="12"/>
        <color rgb="FFFF0000"/>
        <rFont val="Times New Roman"/>
        <family val="1"/>
      </rPr>
      <t xml:space="preserve">Low: </t>
    </r>
    <r>
      <rPr>
        <sz val="12"/>
        <color theme="1"/>
        <rFont val="Times New Roman"/>
        <family val="1"/>
      </rPr>
      <t xml:space="preserve">Some components are expected to fail in extreme load conditions or during the life of the system, and loads are not well known. </t>
    </r>
  </si>
  <si>
    <r>
      <rPr>
        <sz val="12"/>
        <color rgb="FF00B050"/>
        <rFont val="Times New Roman"/>
        <family val="1"/>
      </rPr>
      <t>High:</t>
    </r>
    <r>
      <rPr>
        <b/>
        <sz val="12"/>
        <color rgb="FF00B050"/>
        <rFont val="Times New Roman"/>
        <family val="1"/>
      </rPr>
      <t xml:space="preserve"> </t>
    </r>
    <r>
      <rPr>
        <sz val="12"/>
        <rFont val="Times New Roman"/>
        <family val="1"/>
      </rPr>
      <t xml:space="preserve">No change in WEC configuration is required, or it requires one change that is safe, reliable, easily maintainable, and a failure in the transition system results in going to a safe state.
</t>
    </r>
    <r>
      <rPr>
        <sz val="12"/>
        <color theme="1"/>
        <rFont val="Times New Roman"/>
        <family val="1"/>
      </rPr>
      <t xml:space="preserve">
</t>
    </r>
    <r>
      <rPr>
        <sz val="12"/>
        <color rgb="FFFFC000"/>
        <rFont val="Times New Roman"/>
        <family val="1"/>
      </rPr>
      <t>Med:</t>
    </r>
    <r>
      <rPr>
        <sz val="12"/>
        <color theme="1"/>
        <rFont val="Times New Roman"/>
        <family val="1"/>
      </rPr>
      <t xml:space="preserve"> Two or three configurations are needed with high reliability and low maintenance.
</t>
    </r>
    <r>
      <rPr>
        <sz val="12"/>
        <color rgb="FFFF0000"/>
        <rFont val="Times New Roman"/>
        <family val="1"/>
      </rPr>
      <t xml:space="preserve">Low: </t>
    </r>
    <r>
      <rPr>
        <sz val="12"/>
        <color theme="1"/>
        <rFont val="Times New Roman"/>
        <family val="1"/>
      </rPr>
      <t>Two or more configuration changes that have many single point-failures are needed, which may put the device survival at risk.</t>
    </r>
  </si>
  <si>
    <r>
      <rPr>
        <sz val="12"/>
        <color rgb="FF00B050"/>
        <rFont val="Times New Roman"/>
        <family val="1"/>
      </rPr>
      <t>High:</t>
    </r>
    <r>
      <rPr>
        <b/>
        <sz val="12"/>
        <color rgb="FF00B050"/>
        <rFont val="Times New Roman"/>
        <family val="1"/>
      </rPr>
      <t xml:space="preserve"> </t>
    </r>
    <r>
      <rPr>
        <sz val="12"/>
        <color theme="1"/>
        <rFont val="Times New Roman"/>
        <family val="1"/>
      </rPr>
      <t xml:space="preserve">Water depth greater than 5 m is required. The WEC farm can be installed near shore and deep offshore.
</t>
    </r>
    <r>
      <rPr>
        <sz val="12"/>
        <color rgb="FFFFC000"/>
        <rFont val="Times New Roman"/>
        <family val="1"/>
      </rPr>
      <t>Med:</t>
    </r>
    <r>
      <rPr>
        <sz val="12"/>
        <color theme="1"/>
        <rFont val="Times New Roman"/>
        <family val="1"/>
      </rPr>
      <t xml:space="preserve"> The device requires very specific water depth: less than 20 m, more than 100 m, or a narrow range of depth, such as 20</t>
    </r>
    <r>
      <rPr>
        <sz val="12"/>
        <color theme="1"/>
        <rFont val="Calibri"/>
        <family val="2"/>
      </rPr>
      <t>–</t>
    </r>
    <r>
      <rPr>
        <sz val="12"/>
        <color theme="1"/>
        <rFont val="Times New Roman"/>
        <family val="1"/>
      </rPr>
      <t xml:space="preserve">40 m.
</t>
    </r>
    <r>
      <rPr>
        <sz val="12"/>
        <color rgb="FFFF0000"/>
        <rFont val="Times New Roman"/>
        <family val="1"/>
      </rPr>
      <t xml:space="preserve">Low: </t>
    </r>
    <r>
      <rPr>
        <sz val="12"/>
        <color theme="1"/>
        <rFont val="Times New Roman"/>
        <family val="1"/>
      </rPr>
      <t>Onshore only</t>
    </r>
  </si>
  <si>
    <r>
      <rPr>
        <sz val="12"/>
        <color rgb="FF00B050"/>
        <rFont val="Times New Roman"/>
        <family val="1"/>
      </rPr>
      <t xml:space="preserve">High: </t>
    </r>
    <r>
      <rPr>
        <sz val="12"/>
        <rFont val="Times New Roman"/>
        <family val="1"/>
      </rPr>
      <t>Any bottom type acceptable</t>
    </r>
    <r>
      <rPr>
        <sz val="12"/>
        <color theme="1"/>
        <rFont val="Times New Roman"/>
        <family val="1"/>
      </rPr>
      <t xml:space="preserve">
</t>
    </r>
    <r>
      <rPr>
        <sz val="12"/>
        <color rgb="FFFFC000"/>
        <rFont val="Times New Roman"/>
        <family val="1"/>
      </rPr>
      <t xml:space="preserve">
Med:</t>
    </r>
    <r>
      <rPr>
        <sz val="12"/>
        <color theme="1"/>
        <rFont val="Times New Roman"/>
        <family val="1"/>
      </rPr>
      <t xml:space="preserve"> </t>
    </r>
    <r>
      <rPr>
        <sz val="12"/>
        <rFont val="Times New Roman"/>
        <family val="1"/>
      </rPr>
      <t xml:space="preserve">Limited options acceptable for bottom material </t>
    </r>
    <r>
      <rPr>
        <sz val="12"/>
        <color theme="1"/>
        <rFont val="Times New Roman"/>
        <family val="1"/>
      </rPr>
      <t xml:space="preserve">
</t>
    </r>
    <r>
      <rPr>
        <sz val="12"/>
        <color rgb="FFFF0000"/>
        <rFont val="Times New Roman"/>
        <family val="1"/>
      </rPr>
      <t xml:space="preserve">
Low: </t>
    </r>
    <r>
      <rPr>
        <sz val="12"/>
        <color theme="1"/>
        <rFont val="Times New Roman"/>
        <family val="1"/>
      </rPr>
      <t xml:space="preserve">  Only one bottom type, such as solid ro</t>
    </r>
    <r>
      <rPr>
        <sz val="12"/>
        <rFont val="Times New Roman"/>
        <family val="1"/>
      </rPr>
      <t>ck, acceptable</t>
    </r>
    <r>
      <rPr>
        <sz val="12"/>
        <color rgb="FFFF0000"/>
        <rFont val="Times New Roman"/>
        <family val="1"/>
      </rPr>
      <t xml:space="preserve"> </t>
    </r>
  </si>
  <si>
    <r>
      <rPr>
        <sz val="12"/>
        <color rgb="FF00B050"/>
        <rFont val="Times New Roman"/>
        <family val="1"/>
      </rPr>
      <t>High:</t>
    </r>
    <r>
      <rPr>
        <b/>
        <sz val="12"/>
        <color rgb="FF00B050"/>
        <rFont val="Times New Roman"/>
        <family val="1"/>
      </rPr>
      <t xml:space="preserve"> </t>
    </r>
    <r>
      <rPr>
        <sz val="12"/>
        <color theme="1"/>
        <rFont val="Times New Roman"/>
        <family val="1"/>
      </rPr>
      <t xml:space="preserve">System is insensitive to tidal range.
</t>
    </r>
    <r>
      <rPr>
        <sz val="12"/>
        <color rgb="FFFFC000"/>
        <rFont val="Times New Roman"/>
        <family val="1"/>
      </rPr>
      <t>Med:</t>
    </r>
    <r>
      <rPr>
        <sz val="12"/>
        <color theme="1"/>
        <rFont val="Times New Roman"/>
        <family val="1"/>
      </rPr>
      <t xml:space="preserve"> Tidal range of</t>
    </r>
    <r>
      <rPr>
        <sz val="12"/>
        <rFont val="Times New Roman"/>
        <family val="1"/>
      </rPr>
      <t xml:space="preserve"> 3.5 </t>
    </r>
    <r>
      <rPr>
        <sz val="12"/>
        <color theme="1"/>
        <rFont val="Times New Roman"/>
        <family val="1"/>
      </rPr>
      <t xml:space="preserve">m or more has significant impact on energy yield, costs, or survivability.
</t>
    </r>
    <r>
      <rPr>
        <sz val="12"/>
        <color rgb="FFFF0000"/>
        <rFont val="Times New Roman"/>
        <family val="1"/>
      </rPr>
      <t xml:space="preserve">Low: </t>
    </r>
    <r>
      <rPr>
        <sz val="12"/>
        <color theme="1"/>
        <rFont val="Times New Roman"/>
        <family val="1"/>
      </rPr>
      <t xml:space="preserve">Tidal range of </t>
    </r>
    <r>
      <rPr>
        <sz val="12"/>
        <rFont val="Times New Roman"/>
        <family val="1"/>
      </rPr>
      <t xml:space="preserve">2 </t>
    </r>
    <r>
      <rPr>
        <sz val="12"/>
        <color theme="1"/>
        <rFont val="Times New Roman"/>
        <family val="1"/>
      </rPr>
      <t>m or more has significant impact on energy yield, costs, or survivability.</t>
    </r>
  </si>
  <si>
    <r>
      <t xml:space="preserve">High: </t>
    </r>
    <r>
      <rPr>
        <sz val="12"/>
        <color theme="1"/>
        <rFont val="Times New Roman"/>
        <family val="1"/>
      </rPr>
      <t xml:space="preserve">20 kW/m
</t>
    </r>
    <r>
      <rPr>
        <sz val="12"/>
        <color rgb="FFFFC000"/>
        <rFont val="Times New Roman"/>
        <family val="1"/>
      </rPr>
      <t>Med:</t>
    </r>
    <r>
      <rPr>
        <sz val="12"/>
        <color theme="1"/>
        <rFont val="Times New Roman"/>
        <family val="1"/>
      </rPr>
      <t xml:space="preserve">  20</t>
    </r>
    <r>
      <rPr>
        <sz val="12"/>
        <color theme="1"/>
        <rFont val="Calibri"/>
        <family val="2"/>
      </rPr>
      <t>–</t>
    </r>
    <r>
      <rPr>
        <sz val="12"/>
        <color theme="1"/>
        <rFont val="Times New Roman"/>
        <family val="1"/>
      </rPr>
      <t xml:space="preserve">30 kW/m
</t>
    </r>
    <r>
      <rPr>
        <sz val="12"/>
        <color rgb="FFFF0000"/>
        <rFont val="Times New Roman"/>
        <family val="1"/>
      </rPr>
      <t xml:space="preserve">Low: </t>
    </r>
    <r>
      <rPr>
        <sz val="12"/>
        <color theme="1"/>
        <rFont val="Times New Roman"/>
        <family val="1"/>
      </rPr>
      <t>Larger than 40 kW/m</t>
    </r>
  </si>
  <si>
    <r>
      <rPr>
        <sz val="12"/>
        <color rgb="FF00B050"/>
        <rFont val="Times New Roman"/>
        <family val="1"/>
      </rPr>
      <t>High:</t>
    </r>
    <r>
      <rPr>
        <b/>
        <sz val="12"/>
        <color rgb="FF00B050"/>
        <rFont val="Times New Roman"/>
        <family val="1"/>
      </rPr>
      <t xml:space="preserve"> </t>
    </r>
    <r>
      <rPr>
        <sz val="12"/>
        <color theme="1"/>
        <rFont val="Times New Roman"/>
        <family val="1"/>
      </rPr>
      <t xml:space="preserve">The system is unaffected by current.
</t>
    </r>
    <r>
      <rPr>
        <sz val="12"/>
        <color rgb="FFFFC000"/>
        <rFont val="Times New Roman"/>
        <family val="1"/>
      </rPr>
      <t>Med:</t>
    </r>
    <r>
      <rPr>
        <sz val="12"/>
        <color theme="1"/>
        <rFont val="Times New Roman"/>
        <family val="1"/>
      </rPr>
      <t xml:space="preserve"> Currents less than 0.5 m/s have no adverse impact.
</t>
    </r>
    <r>
      <rPr>
        <sz val="12"/>
        <color rgb="FFFF0000"/>
        <rFont val="Times New Roman"/>
        <family val="1"/>
      </rPr>
      <t xml:space="preserve">Low: </t>
    </r>
    <r>
      <rPr>
        <sz val="12"/>
        <color theme="1"/>
        <rFont val="Times New Roman"/>
        <family val="1"/>
      </rPr>
      <t>Currents less than 0.2 m/s have no adverse impact.</t>
    </r>
  </si>
  <si>
    <r>
      <rPr>
        <sz val="12"/>
        <color rgb="FF00B050"/>
        <rFont val="Times New Roman"/>
        <family val="1"/>
      </rPr>
      <t>High:</t>
    </r>
    <r>
      <rPr>
        <b/>
        <sz val="12"/>
        <color rgb="FF00B050"/>
        <rFont val="Times New Roman"/>
        <family val="1"/>
      </rPr>
      <t xml:space="preserve"> </t>
    </r>
    <r>
      <rPr>
        <sz val="12"/>
        <color theme="1"/>
        <rFont val="Times New Roman"/>
        <family val="1"/>
      </rPr>
      <t xml:space="preserve">The system is benign and can be deployed without restriction.
</t>
    </r>
    <r>
      <rPr>
        <sz val="12"/>
        <color rgb="FFFFC000"/>
        <rFont val="Times New Roman"/>
        <family val="1"/>
      </rPr>
      <t>Med:</t>
    </r>
    <r>
      <rPr>
        <sz val="12"/>
        <color theme="1"/>
        <rFont val="Times New Roman"/>
        <family val="1"/>
      </rPr>
      <t xml:space="preserve"> The system has some environmental issues that will impact specific areas; hence, the technology will have some restrictions that limit deployments in some sites, but overall, the technology is compatible with the majority of sites being considered for WEC deployment.
</t>
    </r>
    <r>
      <rPr>
        <sz val="12"/>
        <color rgb="FFFF0000"/>
        <rFont val="Times New Roman"/>
        <family val="1"/>
      </rPr>
      <t xml:space="preserve">Low: </t>
    </r>
    <r>
      <rPr>
        <sz val="12"/>
        <color theme="1"/>
        <rFont val="Times New Roman"/>
        <family val="1"/>
      </rPr>
      <t>The system has some broad environmental concerns that will limit deployment at many sites.</t>
    </r>
  </si>
  <si>
    <r>
      <rPr>
        <sz val="12"/>
        <color rgb="FF00B050"/>
        <rFont val="Times New Roman"/>
        <family val="1"/>
      </rPr>
      <t>High:</t>
    </r>
    <r>
      <rPr>
        <b/>
        <sz val="12"/>
        <color rgb="FF00B050"/>
        <rFont val="Times New Roman"/>
        <family val="1"/>
      </rPr>
      <t xml:space="preserve"> </t>
    </r>
    <r>
      <rPr>
        <sz val="12"/>
        <color theme="1"/>
        <rFont val="Times New Roman"/>
        <family val="1"/>
      </rPr>
      <t xml:space="preserve">The manufacturing, construction, assembly, and installation capabilities, as needed, exist or can be easily developed (with minimal time and cost) in most coastal locations globally.
</t>
    </r>
    <r>
      <rPr>
        <sz val="12"/>
        <color rgb="FFFFC000"/>
        <rFont val="Times New Roman"/>
        <family val="1"/>
      </rPr>
      <t>Med:</t>
    </r>
    <r>
      <rPr>
        <sz val="12"/>
        <color theme="1"/>
        <rFont val="Times New Roman"/>
        <family val="1"/>
      </rPr>
      <t xml:space="preserve"> Requires facilities or capabilities that are between common and seldom available, or cost or time to develop is significant enough that it might impact project feasibility.
</t>
    </r>
    <r>
      <rPr>
        <sz val="12"/>
        <color rgb="FFFF0000"/>
        <rFont val="Times New Roman"/>
        <family val="1"/>
      </rPr>
      <t xml:space="preserve">Low: </t>
    </r>
    <r>
      <rPr>
        <sz val="12"/>
        <color theme="1"/>
        <rFont val="Times New Roman"/>
        <family val="1"/>
      </rPr>
      <t xml:space="preserve">Requires facilities or capabilities that are only available in a few locations or would take considerable time or cost to develop (likely not cost-effective to develop in many locations). </t>
    </r>
  </si>
  <si>
    <r>
      <rPr>
        <sz val="12"/>
        <color rgb="FF00B050"/>
        <rFont val="Times New Roman"/>
        <family val="1"/>
      </rPr>
      <t>High:</t>
    </r>
    <r>
      <rPr>
        <b/>
        <sz val="12"/>
        <color rgb="FF00B050"/>
        <rFont val="Times New Roman"/>
        <family val="1"/>
      </rPr>
      <t xml:space="preserve"> </t>
    </r>
    <r>
      <rPr>
        <sz val="12"/>
        <color theme="1"/>
        <rFont val="Times New Roman"/>
        <family val="1"/>
      </rPr>
      <t xml:space="preserve">Greater than 500 GW
</t>
    </r>
    <r>
      <rPr>
        <sz val="12"/>
        <color rgb="FFFFC000"/>
        <rFont val="Times New Roman"/>
        <family val="1"/>
      </rPr>
      <t>Med:</t>
    </r>
    <r>
      <rPr>
        <sz val="12"/>
        <color theme="1"/>
        <rFont val="Times New Roman"/>
        <family val="1"/>
      </rPr>
      <t xml:space="preserve"> Between 100 GW and 500 GW
</t>
    </r>
    <r>
      <rPr>
        <sz val="12"/>
        <color rgb="FFFF0000"/>
        <rFont val="Times New Roman"/>
        <family val="1"/>
      </rPr>
      <t xml:space="preserve">Low: </t>
    </r>
    <r>
      <rPr>
        <sz val="12"/>
        <color theme="1"/>
        <rFont val="Times New Roman"/>
        <family val="1"/>
      </rPr>
      <t>Less than 100 GW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</si>
</sst>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
  </numFmts>
  <fonts count="67" x14ac:knownFonts="1">
    <font>
      <sz val="11"/>
      <color theme="1"/>
      <name val="Calibri"/>
      <family val="2"/>
      <scheme val="minor"/>
    </font>
    <font>
      <b/>
      <sz val="11"/>
      <color theme="1"/>
      <name val="Calibri"/>
      <family val="2"/>
      <scheme val="minor"/>
    </font>
    <font>
      <sz val="10"/>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2"/>
      <color indexed="8"/>
      <name val="Arial"/>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sz val="11"/>
      <name val="Calibri"/>
      <family val="2"/>
      <scheme val="minor"/>
    </font>
    <font>
      <b/>
      <sz val="11"/>
      <name val="Calibri"/>
      <family val="2"/>
      <scheme val="minor"/>
    </font>
    <font>
      <i/>
      <sz val="11"/>
      <name val="Calibri"/>
      <family val="2"/>
      <scheme val="minor"/>
    </font>
    <font>
      <sz val="11"/>
      <color indexed="8"/>
      <name val="Calibri"/>
      <family val="2"/>
      <scheme val="minor"/>
    </font>
    <font>
      <sz val="11"/>
      <color theme="1"/>
      <name val="Calibri"/>
      <family val="2"/>
      <scheme val="minor"/>
    </font>
    <font>
      <sz val="11"/>
      <color theme="1" tint="0.499984740745262"/>
      <name val="Calibri"/>
      <family val="2"/>
      <scheme val="minor"/>
    </font>
    <font>
      <b/>
      <sz val="16"/>
      <color theme="1"/>
      <name val="Calibri"/>
      <family val="2"/>
      <scheme val="minor"/>
    </font>
    <font>
      <b/>
      <sz val="20"/>
      <color theme="1"/>
      <name val="Calibri"/>
      <family val="2"/>
      <scheme val="minor"/>
    </font>
    <font>
      <b/>
      <sz val="22"/>
      <color theme="1"/>
      <name val="Calibri"/>
      <family val="2"/>
      <scheme val="minor"/>
    </font>
    <font>
      <b/>
      <sz val="12"/>
      <color theme="1"/>
      <name val="Calibri"/>
      <family val="2"/>
      <scheme val="minor"/>
    </font>
    <font>
      <sz val="20"/>
      <color theme="1"/>
      <name val="Calibri"/>
      <family val="2"/>
      <scheme val="minor"/>
    </font>
    <font>
      <b/>
      <sz val="36"/>
      <color theme="1"/>
      <name val="Calibri"/>
      <family val="2"/>
      <scheme val="minor"/>
    </font>
    <font>
      <b/>
      <sz val="11"/>
      <color rgb="FF000000"/>
      <name val="Calibri"/>
      <family val="2"/>
    </font>
    <font>
      <b/>
      <sz val="16"/>
      <color rgb="FF000000"/>
      <name val="Calibri"/>
      <family val="2"/>
    </font>
    <font>
      <sz val="12"/>
      <color theme="1"/>
      <name val="Calibri"/>
      <family val="2"/>
      <scheme val="minor"/>
    </font>
    <font>
      <sz val="12"/>
      <color theme="1"/>
      <name val="Times New Roman"/>
      <family val="1"/>
    </font>
    <font>
      <b/>
      <sz val="12"/>
      <color rgb="FF00B050"/>
      <name val="Times New Roman"/>
      <family val="1"/>
    </font>
    <font>
      <b/>
      <sz val="12"/>
      <color rgb="FFFFC000"/>
      <name val="Times New Roman"/>
      <family val="1"/>
    </font>
    <font>
      <b/>
      <sz val="12"/>
      <color rgb="FFFF0000"/>
      <name val="Times New Roman"/>
      <family val="1"/>
    </font>
    <font>
      <sz val="12"/>
      <name val="Times New Roman"/>
      <family val="1"/>
    </font>
    <font>
      <sz val="18"/>
      <name val="Calibri"/>
      <family val="2"/>
      <scheme val="minor"/>
    </font>
    <font>
      <b/>
      <sz val="18"/>
      <color theme="1"/>
      <name val="Calibri"/>
      <family val="2"/>
      <scheme val="minor"/>
    </font>
    <font>
      <sz val="12"/>
      <color rgb="FFFFC000"/>
      <name val="Times New Roman"/>
      <family val="1"/>
    </font>
    <font>
      <sz val="12"/>
      <color rgb="FFFF0000"/>
      <name val="Times New Roman"/>
      <family val="1"/>
    </font>
    <font>
      <sz val="14"/>
      <color indexed="8"/>
      <name val="Calibri"/>
      <family val="2"/>
      <scheme val="minor"/>
    </font>
    <font>
      <sz val="18"/>
      <color indexed="8"/>
      <name val="Calibri"/>
      <family val="2"/>
      <scheme val="minor"/>
    </font>
    <font>
      <sz val="14"/>
      <color theme="1"/>
      <name val="Calibri"/>
      <family val="2"/>
      <scheme val="minor"/>
    </font>
    <font>
      <sz val="36"/>
      <color theme="1"/>
      <name val="Calibri"/>
      <family val="2"/>
      <scheme val="minor"/>
    </font>
    <font>
      <sz val="14"/>
      <name val="Calibri"/>
      <family val="2"/>
      <scheme val="minor"/>
    </font>
    <font>
      <b/>
      <sz val="14"/>
      <color indexed="8"/>
      <name val="Calibri"/>
      <family val="2"/>
      <scheme val="minor"/>
    </font>
    <font>
      <vertAlign val="superscript"/>
      <sz val="12"/>
      <color theme="1"/>
      <name val="Times New Roman"/>
      <family val="1"/>
    </font>
    <font>
      <vertAlign val="superscript"/>
      <sz val="12"/>
      <name val="Times New Roman"/>
      <family val="1"/>
    </font>
    <font>
      <sz val="11"/>
      <color rgb="FFFF0000"/>
      <name val="Calibri"/>
      <family val="2"/>
      <scheme val="minor"/>
    </font>
    <font>
      <sz val="12"/>
      <color rgb="FF00B050"/>
      <name val="Times New Roman"/>
      <family val="1"/>
    </font>
    <font>
      <sz val="12"/>
      <name val="Calibri"/>
      <family val="2"/>
      <scheme val="minor"/>
    </font>
    <font>
      <b/>
      <sz val="12"/>
      <name val="Times New Roman"/>
      <family val="1"/>
    </font>
    <font>
      <sz val="9"/>
      <color indexed="81"/>
      <name val="Tahoma"/>
      <family val="2"/>
    </font>
    <font>
      <b/>
      <sz val="14"/>
      <color rgb="FF000000"/>
      <name val="Calibri"/>
      <family val="2"/>
      <scheme val="minor"/>
    </font>
    <font>
      <b/>
      <sz val="14"/>
      <name val="Calibri"/>
      <family val="2"/>
      <scheme val="minor"/>
    </font>
    <font>
      <b/>
      <sz val="12"/>
      <color theme="1"/>
      <name val="Times New Roman"/>
      <family val="1"/>
    </font>
    <font>
      <sz val="12"/>
      <color theme="1"/>
      <name val="Calibri"/>
      <family val="2"/>
    </font>
    <font>
      <sz val="11"/>
      <color theme="1"/>
      <name val="Calibri"/>
      <family val="2"/>
    </font>
    <font>
      <sz val="8.25"/>
      <color theme="1"/>
      <name val="Calibri"/>
      <family val="2"/>
    </font>
    <font>
      <sz val="18"/>
      <color theme="1"/>
      <name val="Calibri"/>
      <family val="2"/>
      <scheme val="minor"/>
    </font>
    <font>
      <sz val="11"/>
      <name val="Calibri"/>
      <family val="2"/>
    </font>
    <font>
      <sz val="9"/>
      <color indexed="81"/>
      <name val="Tahoma"/>
      <charset val="1"/>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theme="8"/>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rgb="FFFF8FFF"/>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3" tint="0.59999389629810485"/>
        <bgColor indexed="64"/>
      </patternFill>
    </fill>
  </fills>
  <borders count="239">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n">
        <color indexed="64"/>
      </bottom>
      <diagonal/>
    </border>
    <border>
      <left/>
      <right style="medium">
        <color indexed="64"/>
      </right>
      <top/>
      <bottom/>
      <diagonal/>
    </border>
    <border>
      <left/>
      <right style="medium">
        <color indexed="64"/>
      </right>
      <top/>
      <bottom style="thin">
        <color indexed="64"/>
      </bottom>
      <diagonal/>
    </border>
    <border>
      <left style="thin">
        <color auto="1"/>
      </left>
      <right style="thin">
        <color auto="1"/>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top/>
      <bottom/>
      <diagonal/>
    </border>
    <border>
      <left/>
      <right style="thin">
        <color auto="1"/>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medium">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bottom/>
      <diagonal/>
    </border>
    <border>
      <left/>
      <right/>
      <top style="thin">
        <color indexed="64"/>
      </top>
      <bottom/>
      <diagonal/>
    </border>
    <border>
      <left/>
      <right style="medium">
        <color indexed="64"/>
      </right>
      <top style="thin">
        <color indexed="64"/>
      </top>
      <bottom/>
      <diagonal/>
    </border>
    <border>
      <left/>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auto="1"/>
      </top>
      <bottom style="thin">
        <color indexed="64"/>
      </bottom>
      <diagonal/>
    </border>
    <border>
      <left style="medium">
        <color indexed="64"/>
      </left>
      <right style="thin">
        <color indexed="64"/>
      </right>
      <top style="thin">
        <color auto="1"/>
      </top>
      <bottom style="thin">
        <color indexed="64"/>
      </bottom>
      <diagonal/>
    </border>
    <border>
      <left style="thin">
        <color auto="1"/>
      </left>
      <right style="thin">
        <color auto="1"/>
      </right>
      <top style="thin">
        <color auto="1"/>
      </top>
      <bottom style="thin">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medium">
        <color indexed="64"/>
      </top>
      <bottom style="thin">
        <color auto="1"/>
      </bottom>
      <diagonal/>
    </border>
    <border>
      <left style="thin">
        <color indexed="64"/>
      </left>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auto="1"/>
      </left>
      <right/>
      <top style="medium">
        <color indexed="64"/>
      </top>
      <bottom style="thin">
        <color auto="1"/>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right style="thin">
        <color indexed="64"/>
      </right>
      <top/>
      <bottom style="thin">
        <color indexed="64"/>
      </bottom>
      <diagonal/>
    </border>
    <border>
      <left/>
      <right/>
      <top/>
      <bottom style="double">
        <color indexed="64"/>
      </bottom>
      <diagonal/>
    </border>
    <border>
      <left style="thin">
        <color indexed="64"/>
      </left>
      <right/>
      <top style="thin">
        <color indexed="64"/>
      </top>
      <bottom style="thin">
        <color indexed="64"/>
      </bottom>
      <diagonal/>
    </border>
    <border>
      <left style="thin">
        <color auto="1"/>
      </left>
      <right/>
      <top style="double">
        <color indexed="64"/>
      </top>
      <bottom/>
      <diagonal/>
    </border>
    <border>
      <left/>
      <right/>
      <top style="double">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4841">
    <xf numFmtId="0" fontId="0" fillId="0" borderId="0"/>
    <xf numFmtId="0" fontId="2"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0" borderId="0" applyNumberFormat="0" applyFill="0" applyBorder="0" applyAlignment="0" applyProtection="0"/>
    <xf numFmtId="0" fontId="6" fillId="20" borderId="1" applyNumberFormat="0" applyAlignment="0" applyProtection="0"/>
    <xf numFmtId="0" fontId="7" fillId="0" borderId="2" applyNumberFormat="0" applyFill="0" applyAlignment="0" applyProtection="0"/>
    <xf numFmtId="0" fontId="8" fillId="21" borderId="3" applyNumberFormat="0" applyFont="0" applyAlignment="0" applyProtection="0"/>
    <xf numFmtId="0" fontId="9" fillId="7" borderId="1" applyNumberFormat="0" applyAlignment="0" applyProtection="0"/>
    <xf numFmtId="0" fontId="10" fillId="3" borderId="0" applyNumberFormat="0" applyBorder="0" applyAlignment="0" applyProtection="0"/>
    <xf numFmtId="0" fontId="11" fillId="22" borderId="0" applyNumberFormat="0" applyBorder="0" applyAlignment="0" applyProtection="0"/>
    <xf numFmtId="0" fontId="8" fillId="0" borderId="0"/>
    <xf numFmtId="0" fontId="12" fillId="4" borderId="0" applyNumberFormat="0" applyBorder="0" applyAlignment="0" applyProtection="0"/>
    <xf numFmtId="0" fontId="13" fillId="20" borderId="4" applyNumberFormat="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5" applyNumberFormat="0" applyFill="0" applyAlignment="0" applyProtection="0"/>
    <xf numFmtId="0" fontId="17" fillId="0" borderId="6" applyNumberFormat="0" applyFill="0" applyAlignment="0" applyProtection="0"/>
    <xf numFmtId="0" fontId="18" fillId="0" borderId="7" applyNumberFormat="0" applyFill="0" applyAlignment="0" applyProtection="0"/>
    <xf numFmtId="0" fontId="18" fillId="0" borderId="0" applyNumberFormat="0" applyFill="0" applyBorder="0" applyAlignment="0" applyProtection="0"/>
    <xf numFmtId="0" fontId="19" fillId="0" borderId="8" applyNumberFormat="0" applyFill="0" applyAlignment="0" applyProtection="0"/>
    <xf numFmtId="0" fontId="20" fillId="23" borderId="9" applyNumberFormat="0" applyAlignment="0" applyProtection="0"/>
    <xf numFmtId="0" fontId="6" fillId="20" borderId="14" applyNumberFormat="0" applyAlignment="0" applyProtection="0"/>
    <xf numFmtId="0" fontId="8" fillId="21" borderId="15" applyNumberFormat="0" applyFont="0" applyAlignment="0" applyProtection="0"/>
    <xf numFmtId="0" fontId="9" fillId="7" borderId="14" applyNumberFormat="0" applyAlignment="0" applyProtection="0"/>
    <xf numFmtId="0" fontId="13" fillId="20" borderId="16" applyNumberFormat="0" applyAlignment="0" applyProtection="0"/>
    <xf numFmtId="0" fontId="19" fillId="0" borderId="17" applyNumberFormat="0" applyFill="0" applyAlignment="0" applyProtection="0"/>
    <xf numFmtId="0" fontId="9" fillId="7" borderId="24" applyNumberFormat="0" applyAlignment="0" applyProtection="0"/>
    <xf numFmtId="0" fontId="8" fillId="21" borderId="25" applyNumberFormat="0" applyFont="0" applyAlignment="0" applyProtection="0"/>
    <xf numFmtId="0" fontId="6" fillId="20" borderId="24" applyNumberFormat="0" applyAlignment="0" applyProtection="0"/>
    <xf numFmtId="0" fontId="9" fillId="7" borderId="36" applyNumberFormat="0" applyAlignment="0" applyProtection="0"/>
    <xf numFmtId="0" fontId="8" fillId="21" borderId="37" applyNumberFormat="0" applyFont="0" applyAlignment="0" applyProtection="0"/>
    <xf numFmtId="0" fontId="6" fillId="20" borderId="36" applyNumberFormat="0" applyAlignment="0" applyProtection="0"/>
    <xf numFmtId="0" fontId="6" fillId="20" borderId="20" applyNumberFormat="0" applyAlignment="0" applyProtection="0"/>
    <xf numFmtId="0" fontId="8" fillId="21" borderId="21" applyNumberFormat="0" applyFont="0" applyAlignment="0" applyProtection="0"/>
    <xf numFmtId="0" fontId="9" fillId="7" borderId="20" applyNumberFormat="0" applyAlignment="0" applyProtection="0"/>
    <xf numFmtId="0" fontId="13" fillId="20" borderId="22" applyNumberFormat="0" applyAlignment="0" applyProtection="0"/>
    <xf numFmtId="0" fontId="6" fillId="20" borderId="32" applyNumberFormat="0" applyAlignment="0" applyProtection="0"/>
    <xf numFmtId="0" fontId="8" fillId="21" borderId="33" applyNumberFormat="0" applyFont="0" applyAlignment="0" applyProtection="0"/>
    <xf numFmtId="0" fontId="9" fillId="7" borderId="32" applyNumberFormat="0" applyAlignment="0" applyProtection="0"/>
    <xf numFmtId="0" fontId="19" fillId="0" borderId="23" applyNumberFormat="0" applyFill="0" applyAlignment="0" applyProtection="0"/>
    <xf numFmtId="0" fontId="6" fillId="20" borderId="20" applyNumberFormat="0" applyAlignment="0" applyProtection="0"/>
    <xf numFmtId="0" fontId="8" fillId="21" borderId="21" applyNumberFormat="0" applyFont="0" applyAlignment="0" applyProtection="0"/>
    <xf numFmtId="0" fontId="9" fillId="7" borderId="20" applyNumberFormat="0" applyAlignment="0" applyProtection="0"/>
    <xf numFmtId="0" fontId="13" fillId="20" borderId="22" applyNumberFormat="0" applyAlignment="0" applyProtection="0"/>
    <xf numFmtId="0" fontId="19" fillId="0" borderId="23" applyNumberFormat="0" applyFill="0" applyAlignment="0" applyProtection="0"/>
    <xf numFmtId="0" fontId="13" fillId="20" borderId="26" applyNumberFormat="0" applyAlignment="0" applyProtection="0"/>
    <xf numFmtId="0" fontId="13" fillId="20" borderId="38" applyNumberFormat="0" applyAlignment="0" applyProtection="0"/>
    <xf numFmtId="0" fontId="13" fillId="20" borderId="46" applyNumberFormat="0" applyAlignment="0" applyProtection="0"/>
    <xf numFmtId="0" fontId="19" fillId="0" borderId="27" applyNumberFormat="0" applyFill="0" applyAlignment="0" applyProtection="0"/>
    <xf numFmtId="0" fontId="6" fillId="20" borderId="28" applyNumberFormat="0" applyAlignment="0" applyProtection="0"/>
    <xf numFmtId="0" fontId="8" fillId="21" borderId="29" applyNumberFormat="0" applyFont="0" applyAlignment="0" applyProtection="0"/>
    <xf numFmtId="0" fontId="9" fillId="7" borderId="28" applyNumberFormat="0" applyAlignment="0" applyProtection="0"/>
    <xf numFmtId="0" fontId="13" fillId="20" borderId="30" applyNumberFormat="0" applyAlignment="0" applyProtection="0"/>
    <xf numFmtId="0" fontId="19" fillId="0" borderId="31" applyNumberFormat="0" applyFill="0" applyAlignment="0" applyProtection="0"/>
    <xf numFmtId="0" fontId="6" fillId="20" borderId="44" applyNumberFormat="0" applyAlignment="0" applyProtection="0"/>
    <xf numFmtId="0" fontId="13" fillId="20" borderId="34" applyNumberFormat="0" applyAlignment="0" applyProtection="0"/>
    <xf numFmtId="0" fontId="8" fillId="21" borderId="45" applyNumberFormat="0" applyFont="0" applyAlignment="0" applyProtection="0"/>
    <xf numFmtId="0" fontId="9" fillId="7" borderId="44" applyNumberFormat="0" applyAlignment="0" applyProtection="0"/>
    <xf numFmtId="0" fontId="19" fillId="0" borderId="35" applyNumberFormat="0" applyFill="0" applyAlignment="0" applyProtection="0"/>
    <xf numFmtId="0" fontId="6" fillId="20" borderId="32" applyNumberFormat="0" applyAlignment="0" applyProtection="0"/>
    <xf numFmtId="0" fontId="8" fillId="21" borderId="33" applyNumberFormat="0" applyFont="0" applyAlignment="0" applyProtection="0"/>
    <xf numFmtId="0" fontId="9" fillId="7" borderId="32" applyNumberFormat="0" applyAlignment="0" applyProtection="0"/>
    <xf numFmtId="0" fontId="13" fillId="20" borderId="34" applyNumberFormat="0" applyAlignment="0" applyProtection="0"/>
    <xf numFmtId="0" fontId="19" fillId="0" borderId="35" applyNumberFormat="0" applyFill="0" applyAlignment="0" applyProtection="0"/>
    <xf numFmtId="0" fontId="19" fillId="0" borderId="39" applyNumberFormat="0" applyFill="0" applyAlignment="0" applyProtection="0"/>
    <xf numFmtId="0" fontId="6" fillId="20" borderId="40" applyNumberFormat="0" applyAlignment="0" applyProtection="0"/>
    <xf numFmtId="0" fontId="8" fillId="21" borderId="41" applyNumberFormat="0" applyFont="0" applyAlignment="0" applyProtection="0"/>
    <xf numFmtId="0" fontId="9" fillId="7" borderId="40" applyNumberFormat="0" applyAlignment="0" applyProtection="0"/>
    <xf numFmtId="0" fontId="13" fillId="20" borderId="42" applyNumberFormat="0" applyAlignment="0" applyProtection="0"/>
    <xf numFmtId="0" fontId="19" fillId="0" borderId="43" applyNumberFormat="0" applyFill="0" applyAlignment="0" applyProtection="0"/>
    <xf numFmtId="0" fontId="19" fillId="0" borderId="47" applyNumberFormat="0" applyFill="0" applyAlignment="0" applyProtection="0"/>
    <xf numFmtId="0" fontId="6" fillId="20" borderId="48" applyNumberFormat="0" applyAlignment="0" applyProtection="0"/>
    <xf numFmtId="0" fontId="8" fillId="21" borderId="49" applyNumberFormat="0" applyFont="0" applyAlignment="0" applyProtection="0"/>
    <xf numFmtId="0" fontId="9" fillId="7" borderId="48" applyNumberFormat="0" applyAlignment="0" applyProtection="0"/>
    <xf numFmtId="0" fontId="13" fillId="20" borderId="50" applyNumberFormat="0" applyAlignment="0" applyProtection="0"/>
    <xf numFmtId="0" fontId="19" fillId="0" borderId="51" applyNumberFormat="0" applyFill="0" applyAlignment="0" applyProtection="0"/>
    <xf numFmtId="0" fontId="9" fillId="7" borderId="68" applyNumberFormat="0" applyAlignment="0" applyProtection="0"/>
    <xf numFmtId="0" fontId="13" fillId="20" borderId="58" applyNumberFormat="0" applyAlignment="0" applyProtection="0"/>
    <xf numFmtId="0" fontId="8" fillId="21" borderId="69" applyNumberFormat="0" applyFont="0" applyAlignment="0" applyProtection="0"/>
    <xf numFmtId="0" fontId="9" fillId="7" borderId="76" applyNumberFormat="0" applyAlignment="0" applyProtection="0"/>
    <xf numFmtId="0" fontId="13" fillId="20" borderId="70" applyNumberFormat="0" applyAlignment="0" applyProtection="0"/>
    <xf numFmtId="0" fontId="9" fillId="7" borderId="56" applyNumberFormat="0" applyAlignment="0" applyProtection="0"/>
    <xf numFmtId="0" fontId="8" fillId="21" borderId="57" applyNumberFormat="0" applyFont="0" applyAlignment="0" applyProtection="0"/>
    <xf numFmtId="0" fontId="8" fillId="21" borderId="77" applyNumberFormat="0" applyFont="0" applyAlignment="0" applyProtection="0"/>
    <xf numFmtId="0" fontId="6" fillId="20" borderId="56" applyNumberFormat="0" applyAlignment="0" applyProtection="0"/>
    <xf numFmtId="0" fontId="6" fillId="20" borderId="48" applyNumberFormat="0" applyAlignment="0" applyProtection="0"/>
    <xf numFmtId="0" fontId="8" fillId="21" borderId="73" applyNumberFormat="0" applyFont="0" applyAlignment="0" applyProtection="0"/>
    <xf numFmtId="0" fontId="8" fillId="21" borderId="49" applyNumberFormat="0" applyFont="0" applyAlignment="0" applyProtection="0"/>
    <xf numFmtId="0" fontId="9" fillId="7" borderId="48" applyNumberFormat="0" applyAlignment="0" applyProtection="0"/>
    <xf numFmtId="0" fontId="13" fillId="20" borderId="62" applyNumberFormat="0" applyAlignment="0" applyProtection="0"/>
    <xf numFmtId="0" fontId="9" fillId="7" borderId="72" applyNumberFormat="0" applyAlignment="0" applyProtection="0"/>
    <xf numFmtId="0" fontId="8" fillId="21" borderId="61" applyNumberFormat="0" applyFont="0" applyAlignment="0" applyProtection="0"/>
    <xf numFmtId="0" fontId="13" fillId="20" borderId="50" applyNumberFormat="0" applyAlignment="0" applyProtection="0"/>
    <xf numFmtId="0" fontId="9" fillId="7" borderId="60" applyNumberFormat="0" applyAlignment="0" applyProtection="0"/>
    <xf numFmtId="0" fontId="13" fillId="20" borderId="74" applyNumberFormat="0" applyAlignment="0" applyProtection="0"/>
    <xf numFmtId="0" fontId="19" fillId="0" borderId="51" applyNumberFormat="0" applyFill="0" applyAlignment="0" applyProtection="0"/>
    <xf numFmtId="0" fontId="6" fillId="20" borderId="60" applyNumberFormat="0" applyAlignment="0" applyProtection="0"/>
    <xf numFmtId="0" fontId="6" fillId="20" borderId="52" applyNumberFormat="0" applyAlignment="0" applyProtection="0"/>
    <xf numFmtId="0" fontId="8" fillId="21" borderId="53" applyNumberFormat="0" applyFont="0" applyAlignment="0" applyProtection="0"/>
    <xf numFmtId="0" fontId="9" fillId="7" borderId="52" applyNumberFormat="0" applyAlignment="0" applyProtection="0"/>
    <xf numFmtId="0" fontId="13" fillId="20" borderId="54" applyNumberFormat="0" applyAlignment="0" applyProtection="0"/>
    <xf numFmtId="0" fontId="19" fillId="0" borderId="55" applyNumberFormat="0" applyFill="0" applyAlignment="0" applyProtection="0"/>
    <xf numFmtId="0" fontId="13" fillId="20" borderId="80" applyNumberFormat="0" applyAlignment="0" applyProtection="0"/>
    <xf numFmtId="0" fontId="19" fillId="0" borderId="59" applyNumberFormat="0" applyFill="0" applyAlignment="0" applyProtection="0"/>
    <xf numFmtId="0" fontId="6" fillId="20" borderId="68" applyNumberFormat="0" applyAlignment="0" applyProtection="0"/>
    <xf numFmtId="0" fontId="6" fillId="20" borderId="56" applyNumberFormat="0" applyAlignment="0" applyProtection="0"/>
    <xf numFmtId="0" fontId="8" fillId="21" borderId="57" applyNumberFormat="0" applyFont="0" applyAlignment="0" applyProtection="0"/>
    <xf numFmtId="0" fontId="9" fillId="7" borderId="56" applyNumberFormat="0" applyAlignment="0" applyProtection="0"/>
    <xf numFmtId="0" fontId="13" fillId="20" borderId="58" applyNumberFormat="0" applyAlignment="0" applyProtection="0"/>
    <xf numFmtId="0" fontId="19" fillId="0" borderId="59" applyNumberFormat="0" applyFill="0" applyAlignment="0" applyProtection="0"/>
    <xf numFmtId="0" fontId="19" fillId="0" borderId="63" applyNumberFormat="0" applyFill="0" applyAlignment="0" applyProtection="0"/>
    <xf numFmtId="0" fontId="6" fillId="20" borderId="72" applyNumberFormat="0" applyAlignment="0" applyProtection="0"/>
    <xf numFmtId="0" fontId="6" fillId="20" borderId="64" applyNumberFormat="0" applyAlignment="0" applyProtection="0"/>
    <xf numFmtId="0" fontId="8" fillId="21" borderId="65" applyNumberFormat="0" applyFont="0" applyAlignment="0" applyProtection="0"/>
    <xf numFmtId="0" fontId="9" fillId="7" borderId="64" applyNumberFormat="0" applyAlignment="0" applyProtection="0"/>
    <xf numFmtId="0" fontId="13" fillId="20" borderId="66" applyNumberFormat="0" applyAlignment="0" applyProtection="0"/>
    <xf numFmtId="0" fontId="19" fillId="0" borderId="67" applyNumberFormat="0" applyFill="0" applyAlignment="0" applyProtection="0"/>
    <xf numFmtId="0" fontId="19" fillId="0" borderId="71" applyNumberFormat="0" applyFill="0" applyAlignment="0" applyProtection="0"/>
    <xf numFmtId="0" fontId="6" fillId="20" borderId="76" applyNumberFormat="0" applyAlignment="0" applyProtection="0"/>
    <xf numFmtId="0" fontId="6" fillId="20" borderId="68" applyNumberFormat="0" applyAlignment="0" applyProtection="0"/>
    <xf numFmtId="0" fontId="8" fillId="21" borderId="69" applyNumberFormat="0" applyFont="0" applyAlignment="0" applyProtection="0"/>
    <xf numFmtId="0" fontId="9" fillId="7" borderId="68" applyNumberFormat="0" applyAlignment="0" applyProtection="0"/>
    <xf numFmtId="0" fontId="13" fillId="20" borderId="70" applyNumberFormat="0" applyAlignment="0" applyProtection="0"/>
    <xf numFmtId="0" fontId="19" fillId="0" borderId="71" applyNumberFormat="0" applyFill="0" applyAlignment="0" applyProtection="0"/>
    <xf numFmtId="0" fontId="19" fillId="0" borderId="75" applyNumberFormat="0" applyFill="0" applyAlignment="0" applyProtection="0"/>
    <xf numFmtId="0" fontId="6" fillId="20" borderId="76" applyNumberFormat="0" applyAlignment="0" applyProtection="0"/>
    <xf numFmtId="0" fontId="8" fillId="21" borderId="77" applyNumberFormat="0" applyFont="0" applyAlignment="0" applyProtection="0"/>
    <xf numFmtId="0" fontId="9" fillId="7" borderId="76" applyNumberFormat="0" applyAlignment="0" applyProtection="0"/>
    <xf numFmtId="0" fontId="13" fillId="20" borderId="78" applyNumberFormat="0" applyAlignment="0" applyProtection="0"/>
    <xf numFmtId="0" fontId="19" fillId="0" borderId="79" applyNumberFormat="0" applyFill="0" applyAlignment="0" applyProtection="0"/>
    <xf numFmtId="0" fontId="19" fillId="0" borderId="81" applyNumberFormat="0" applyFill="0" applyAlignment="0" applyProtection="0"/>
    <xf numFmtId="0" fontId="6" fillId="20" borderId="82" applyNumberFormat="0" applyAlignment="0" applyProtection="0"/>
    <xf numFmtId="0" fontId="8" fillId="21" borderId="83" applyNumberFormat="0" applyFont="0" applyAlignment="0" applyProtection="0"/>
    <xf numFmtId="0" fontId="9" fillId="7" borderId="82" applyNumberFormat="0" applyAlignment="0" applyProtection="0"/>
    <xf numFmtId="0" fontId="13" fillId="20" borderId="84" applyNumberFormat="0" applyAlignment="0" applyProtection="0"/>
    <xf numFmtId="0" fontId="19" fillId="0" borderId="85" applyNumberFormat="0" applyFill="0" applyAlignment="0" applyProtection="0"/>
    <xf numFmtId="43" fontId="25" fillId="0" borderId="0" applyFont="0" applyFill="0" applyBorder="0" applyAlignment="0" applyProtection="0"/>
    <xf numFmtId="0" fontId="6" fillId="20" borderId="88" applyNumberFormat="0" applyAlignment="0" applyProtection="0"/>
    <xf numFmtId="0" fontId="8" fillId="21" borderId="89" applyNumberFormat="0" applyFont="0" applyAlignment="0" applyProtection="0"/>
    <xf numFmtId="0" fontId="9" fillId="7" borderId="88" applyNumberFormat="0" applyAlignment="0" applyProtection="0"/>
    <xf numFmtId="0" fontId="13" fillId="20" borderId="90" applyNumberFormat="0" applyAlignment="0" applyProtection="0"/>
    <xf numFmtId="0" fontId="19" fillId="0" borderId="91" applyNumberFormat="0" applyFill="0" applyAlignment="0" applyProtection="0"/>
    <xf numFmtId="0" fontId="6" fillId="20" borderId="88" applyNumberFormat="0" applyAlignment="0" applyProtection="0"/>
    <xf numFmtId="0" fontId="8" fillId="21" borderId="89" applyNumberFormat="0" applyFont="0" applyAlignment="0" applyProtection="0"/>
    <xf numFmtId="0" fontId="9" fillId="7" borderId="88" applyNumberFormat="0" applyAlignment="0" applyProtection="0"/>
    <xf numFmtId="0" fontId="13" fillId="20" borderId="90" applyNumberFormat="0" applyAlignment="0" applyProtection="0"/>
    <xf numFmtId="0" fontId="19" fillId="0" borderId="91" applyNumberFormat="0" applyFill="0" applyAlignment="0" applyProtection="0"/>
    <xf numFmtId="0" fontId="9" fillId="7" borderId="93" applyNumberFormat="0" applyAlignment="0" applyProtection="0"/>
    <xf numFmtId="0" fontId="8" fillId="21" borderId="94" applyNumberFormat="0" applyFont="0" applyAlignment="0" applyProtection="0"/>
    <xf numFmtId="0" fontId="6" fillId="20" borderId="93" applyNumberFormat="0" applyAlignment="0" applyProtection="0"/>
    <xf numFmtId="0" fontId="9" fillId="7" borderId="97" applyNumberFormat="0" applyAlignment="0" applyProtection="0"/>
    <xf numFmtId="0" fontId="8" fillId="21" borderId="98" applyNumberFormat="0" applyFont="0" applyAlignment="0" applyProtection="0"/>
    <xf numFmtId="0" fontId="6" fillId="20" borderId="97" applyNumberFormat="0" applyAlignment="0" applyProtection="0"/>
    <xf numFmtId="0" fontId="6" fillId="20" borderId="93" applyNumberFormat="0" applyAlignment="0" applyProtection="0"/>
    <xf numFmtId="0" fontId="8" fillId="21" borderId="94" applyNumberFormat="0" applyFont="0" applyAlignment="0" applyProtection="0"/>
    <xf numFmtId="0" fontId="9" fillId="7" borderId="93" applyNumberFormat="0" applyAlignment="0" applyProtection="0"/>
    <xf numFmtId="0" fontId="13" fillId="20" borderId="95" applyNumberFormat="0" applyAlignment="0" applyProtection="0"/>
    <xf numFmtId="0" fontId="6" fillId="20" borderId="97" applyNumberFormat="0" applyAlignment="0" applyProtection="0"/>
    <xf numFmtId="0" fontId="8" fillId="21" borderId="98" applyNumberFormat="0" applyFont="0" applyAlignment="0" applyProtection="0"/>
    <xf numFmtId="0" fontId="9" fillId="7" borderId="97" applyNumberFormat="0" applyAlignment="0" applyProtection="0"/>
    <xf numFmtId="0" fontId="19" fillId="0" borderId="96" applyNumberFormat="0" applyFill="0" applyAlignment="0" applyProtection="0"/>
    <xf numFmtId="0" fontId="6" fillId="20" borderId="93" applyNumberFormat="0" applyAlignment="0" applyProtection="0"/>
    <xf numFmtId="0" fontId="8" fillId="21" borderId="94" applyNumberFormat="0" applyFont="0" applyAlignment="0" applyProtection="0"/>
    <xf numFmtId="0" fontId="9" fillId="7" borderId="93" applyNumberFormat="0" applyAlignment="0" applyProtection="0"/>
    <xf numFmtId="0" fontId="13" fillId="20" borderId="95" applyNumberFormat="0" applyAlignment="0" applyProtection="0"/>
    <xf numFmtId="0" fontId="19" fillId="0" borderId="96" applyNumberFormat="0" applyFill="0" applyAlignment="0" applyProtection="0"/>
    <xf numFmtId="0" fontId="13" fillId="20" borderId="95" applyNumberFormat="0" applyAlignment="0" applyProtection="0"/>
    <xf numFmtId="0" fontId="13" fillId="20" borderId="99" applyNumberFormat="0" applyAlignment="0" applyProtection="0"/>
    <xf numFmtId="0" fontId="13" fillId="20" borderId="99" applyNumberFormat="0" applyAlignment="0" applyProtection="0"/>
    <xf numFmtId="0" fontId="19" fillId="0" borderId="96" applyNumberFormat="0" applyFill="0" applyAlignment="0" applyProtection="0"/>
    <xf numFmtId="0" fontId="6" fillId="20" borderId="93" applyNumberFormat="0" applyAlignment="0" applyProtection="0"/>
    <xf numFmtId="0" fontId="8" fillId="21" borderId="94" applyNumberFormat="0" applyFont="0" applyAlignment="0" applyProtection="0"/>
    <xf numFmtId="0" fontId="9" fillId="7" borderId="93" applyNumberFormat="0" applyAlignment="0" applyProtection="0"/>
    <xf numFmtId="0" fontId="13" fillId="20" borderId="95" applyNumberFormat="0" applyAlignment="0" applyProtection="0"/>
    <xf numFmtId="0" fontId="19" fillId="0" borderId="96" applyNumberFormat="0" applyFill="0" applyAlignment="0" applyProtection="0"/>
    <xf numFmtId="0" fontId="6" fillId="20" borderId="97" applyNumberFormat="0" applyAlignment="0" applyProtection="0"/>
    <xf numFmtId="0" fontId="13" fillId="20" borderId="99" applyNumberFormat="0" applyAlignment="0" applyProtection="0"/>
    <xf numFmtId="0" fontId="8" fillId="21" borderId="98" applyNumberFormat="0" applyFont="0" applyAlignment="0" applyProtection="0"/>
    <xf numFmtId="0" fontId="9" fillId="7" borderId="97" applyNumberFormat="0" applyAlignment="0" applyProtection="0"/>
    <xf numFmtId="0" fontId="19" fillId="0" borderId="100" applyNumberFormat="0" applyFill="0" applyAlignment="0" applyProtection="0"/>
    <xf numFmtId="0" fontId="6" fillId="20" borderId="97" applyNumberFormat="0" applyAlignment="0" applyProtection="0"/>
    <xf numFmtId="0" fontId="8" fillId="21" borderId="98" applyNumberFormat="0" applyFont="0" applyAlignment="0" applyProtection="0"/>
    <xf numFmtId="0" fontId="9" fillId="7" borderId="97" applyNumberFormat="0" applyAlignment="0" applyProtection="0"/>
    <xf numFmtId="0" fontId="13" fillId="20" borderId="99" applyNumberFormat="0" applyAlignment="0" applyProtection="0"/>
    <xf numFmtId="0" fontId="19" fillId="0" borderId="100" applyNumberFormat="0" applyFill="0" applyAlignment="0" applyProtection="0"/>
    <xf numFmtId="0" fontId="19" fillId="0" borderId="100" applyNumberFormat="0" applyFill="0" applyAlignment="0" applyProtection="0"/>
    <xf numFmtId="0" fontId="6" fillId="20" borderId="97" applyNumberFormat="0" applyAlignment="0" applyProtection="0"/>
    <xf numFmtId="0" fontId="8" fillId="21" borderId="98" applyNumberFormat="0" applyFont="0" applyAlignment="0" applyProtection="0"/>
    <xf numFmtId="0" fontId="9" fillId="7" borderId="97" applyNumberFormat="0" applyAlignment="0" applyProtection="0"/>
    <xf numFmtId="0" fontId="13" fillId="20" borderId="99" applyNumberFormat="0" applyAlignment="0" applyProtection="0"/>
    <xf numFmtId="0" fontId="19" fillId="0" borderId="100" applyNumberFormat="0" applyFill="0" applyAlignment="0" applyProtection="0"/>
    <xf numFmtId="0" fontId="19" fillId="0" borderId="100" applyNumberFormat="0" applyFill="0" applyAlignment="0" applyProtection="0"/>
    <xf numFmtId="0" fontId="6" fillId="20" borderId="97" applyNumberFormat="0" applyAlignment="0" applyProtection="0"/>
    <xf numFmtId="0" fontId="8" fillId="21" borderId="98" applyNumberFormat="0" applyFont="0" applyAlignment="0" applyProtection="0"/>
    <xf numFmtId="0" fontId="9" fillId="7" borderId="97" applyNumberFormat="0" applyAlignment="0" applyProtection="0"/>
    <xf numFmtId="0" fontId="13" fillId="20" borderId="99" applyNumberFormat="0" applyAlignment="0" applyProtection="0"/>
    <xf numFmtId="0" fontId="19" fillId="0" borderId="100" applyNumberFormat="0" applyFill="0" applyAlignment="0" applyProtection="0"/>
    <xf numFmtId="0" fontId="9" fillId="7" borderId="97" applyNumberFormat="0" applyAlignment="0" applyProtection="0"/>
    <xf numFmtId="0" fontId="13" fillId="20" borderId="99" applyNumberFormat="0" applyAlignment="0" applyProtection="0"/>
    <xf numFmtId="0" fontId="8" fillId="21" borderId="98" applyNumberFormat="0" applyFont="0" applyAlignment="0" applyProtection="0"/>
    <xf numFmtId="0" fontId="9" fillId="7" borderId="97" applyNumberFormat="0" applyAlignment="0" applyProtection="0"/>
    <xf numFmtId="0" fontId="13" fillId="20" borderId="99" applyNumberFormat="0" applyAlignment="0" applyProtection="0"/>
    <xf numFmtId="0" fontId="9" fillId="7" borderId="97" applyNumberFormat="0" applyAlignment="0" applyProtection="0"/>
    <xf numFmtId="0" fontId="8" fillId="21" borderId="98" applyNumberFormat="0" applyFont="0" applyAlignment="0" applyProtection="0"/>
    <xf numFmtId="0" fontId="8" fillId="21" borderId="98" applyNumberFormat="0" applyFont="0" applyAlignment="0" applyProtection="0"/>
    <xf numFmtId="0" fontId="6" fillId="20" borderId="97" applyNumberFormat="0" applyAlignment="0" applyProtection="0"/>
    <xf numFmtId="0" fontId="6" fillId="20" borderId="97" applyNumberFormat="0" applyAlignment="0" applyProtection="0"/>
    <xf numFmtId="0" fontId="8" fillId="21" borderId="98" applyNumberFormat="0" applyFont="0" applyAlignment="0" applyProtection="0"/>
    <xf numFmtId="0" fontId="8" fillId="21" borderId="98" applyNumberFormat="0" applyFont="0" applyAlignment="0" applyProtection="0"/>
    <xf numFmtId="0" fontId="9" fillId="7" borderId="97" applyNumberFormat="0" applyAlignment="0" applyProtection="0"/>
    <xf numFmtId="0" fontId="13" fillId="20" borderId="99" applyNumberFormat="0" applyAlignment="0" applyProtection="0"/>
    <xf numFmtId="0" fontId="9" fillId="7" borderId="97" applyNumberFormat="0" applyAlignment="0" applyProtection="0"/>
    <xf numFmtId="0" fontId="8" fillId="21" borderId="98" applyNumberFormat="0" applyFont="0" applyAlignment="0" applyProtection="0"/>
    <xf numFmtId="0" fontId="13" fillId="20" borderId="99" applyNumberFormat="0" applyAlignment="0" applyProtection="0"/>
    <xf numFmtId="0" fontId="9" fillId="7" borderId="97" applyNumberFormat="0" applyAlignment="0" applyProtection="0"/>
    <xf numFmtId="0" fontId="13" fillId="20" borderId="99" applyNumberFormat="0" applyAlignment="0" applyProtection="0"/>
    <xf numFmtId="0" fontId="19" fillId="0" borderId="100" applyNumberFormat="0" applyFill="0" applyAlignment="0" applyProtection="0"/>
    <xf numFmtId="0" fontId="6" fillId="20" borderId="97" applyNumberFormat="0" applyAlignment="0" applyProtection="0"/>
    <xf numFmtId="0" fontId="6" fillId="20" borderId="97" applyNumberFormat="0" applyAlignment="0" applyProtection="0"/>
    <xf numFmtId="0" fontId="8" fillId="21" borderId="98" applyNumberFormat="0" applyFont="0" applyAlignment="0" applyProtection="0"/>
    <xf numFmtId="0" fontId="9" fillId="7" borderId="97" applyNumberFormat="0" applyAlignment="0" applyProtection="0"/>
    <xf numFmtId="0" fontId="13" fillId="20" borderId="99" applyNumberFormat="0" applyAlignment="0" applyProtection="0"/>
    <xf numFmtId="0" fontId="19" fillId="0" borderId="100" applyNumberFormat="0" applyFill="0" applyAlignment="0" applyProtection="0"/>
    <xf numFmtId="0" fontId="13" fillId="20" borderId="99" applyNumberFormat="0" applyAlignment="0" applyProtection="0"/>
    <xf numFmtId="0" fontId="19" fillId="0" borderId="100" applyNumberFormat="0" applyFill="0" applyAlignment="0" applyProtection="0"/>
    <xf numFmtId="0" fontId="6" fillId="20" borderId="97" applyNumberFormat="0" applyAlignment="0" applyProtection="0"/>
    <xf numFmtId="0" fontId="6" fillId="20" borderId="97" applyNumberFormat="0" applyAlignment="0" applyProtection="0"/>
    <xf numFmtId="0" fontId="8" fillId="21" borderId="98" applyNumberFormat="0" applyFont="0" applyAlignment="0" applyProtection="0"/>
    <xf numFmtId="0" fontId="9" fillId="7" borderId="97" applyNumberFormat="0" applyAlignment="0" applyProtection="0"/>
    <xf numFmtId="0" fontId="13" fillId="20" borderId="99" applyNumberFormat="0" applyAlignment="0" applyProtection="0"/>
    <xf numFmtId="0" fontId="19" fillId="0" borderId="100" applyNumberFormat="0" applyFill="0" applyAlignment="0" applyProtection="0"/>
    <xf numFmtId="0" fontId="19" fillId="0" borderId="100" applyNumberFormat="0" applyFill="0" applyAlignment="0" applyProtection="0"/>
    <xf numFmtId="0" fontId="6" fillId="20" borderId="97" applyNumberFormat="0" applyAlignment="0" applyProtection="0"/>
    <xf numFmtId="0" fontId="6" fillId="20" borderId="97" applyNumberFormat="0" applyAlignment="0" applyProtection="0"/>
    <xf numFmtId="0" fontId="8" fillId="21" borderId="98" applyNumberFormat="0" applyFont="0" applyAlignment="0" applyProtection="0"/>
    <xf numFmtId="0" fontId="9" fillId="7" borderId="97" applyNumberFormat="0" applyAlignment="0" applyProtection="0"/>
    <xf numFmtId="0" fontId="13" fillId="20" borderId="99" applyNumberFormat="0" applyAlignment="0" applyProtection="0"/>
    <xf numFmtId="0" fontId="19" fillId="0" borderId="100" applyNumberFormat="0" applyFill="0" applyAlignment="0" applyProtection="0"/>
    <xf numFmtId="0" fontId="19" fillId="0" borderId="100" applyNumberFormat="0" applyFill="0" applyAlignment="0" applyProtection="0"/>
    <xf numFmtId="0" fontId="6" fillId="20" borderId="97" applyNumberFormat="0" applyAlignment="0" applyProtection="0"/>
    <xf numFmtId="0" fontId="6" fillId="20" borderId="97" applyNumberFormat="0" applyAlignment="0" applyProtection="0"/>
    <xf numFmtId="0" fontId="8" fillId="21" borderId="98" applyNumberFormat="0" applyFont="0" applyAlignment="0" applyProtection="0"/>
    <xf numFmtId="0" fontId="9" fillId="7" borderId="97" applyNumberFormat="0" applyAlignment="0" applyProtection="0"/>
    <xf numFmtId="0" fontId="13" fillId="20" borderId="99" applyNumberFormat="0" applyAlignment="0" applyProtection="0"/>
    <xf numFmtId="0" fontId="19" fillId="0" borderId="100" applyNumberFormat="0" applyFill="0" applyAlignment="0" applyProtection="0"/>
    <xf numFmtId="0" fontId="19" fillId="0" borderId="100" applyNumberFormat="0" applyFill="0" applyAlignment="0" applyProtection="0"/>
    <xf numFmtId="0" fontId="6" fillId="20" borderId="97" applyNumberFormat="0" applyAlignment="0" applyProtection="0"/>
    <xf numFmtId="0" fontId="8" fillId="21" borderId="98" applyNumberFormat="0" applyFont="0" applyAlignment="0" applyProtection="0"/>
    <xf numFmtId="0" fontId="9" fillId="7" borderId="97" applyNumberFormat="0" applyAlignment="0" applyProtection="0"/>
    <xf numFmtId="0" fontId="13" fillId="20" borderId="99" applyNumberFormat="0" applyAlignment="0" applyProtection="0"/>
    <xf numFmtId="0" fontId="19" fillId="0" borderId="100" applyNumberFormat="0" applyFill="0" applyAlignment="0" applyProtection="0"/>
    <xf numFmtId="0" fontId="19" fillId="0" borderId="100" applyNumberFormat="0" applyFill="0" applyAlignment="0" applyProtection="0"/>
    <xf numFmtId="0" fontId="6" fillId="20" borderId="97" applyNumberFormat="0" applyAlignment="0" applyProtection="0"/>
    <xf numFmtId="0" fontId="8" fillId="21" borderId="98" applyNumberFormat="0" applyFont="0" applyAlignment="0" applyProtection="0"/>
    <xf numFmtId="0" fontId="9" fillId="7" borderId="97" applyNumberFormat="0" applyAlignment="0" applyProtection="0"/>
    <xf numFmtId="0" fontId="13" fillId="20" borderId="99" applyNumberFormat="0" applyAlignment="0" applyProtection="0"/>
    <xf numFmtId="0" fontId="19" fillId="0" borderId="100" applyNumberFormat="0" applyFill="0" applyAlignment="0" applyProtection="0"/>
    <xf numFmtId="9" fontId="25" fillId="0" borderId="0" applyFont="0" applyFill="0" applyBorder="0" applyAlignment="0" applyProtection="0"/>
    <xf numFmtId="0" fontId="19" fillId="0" borderId="170" applyNumberFormat="0" applyFill="0" applyAlignment="0" applyProtection="0"/>
    <xf numFmtId="0" fontId="6" fillId="20" borderId="167" applyNumberFormat="0" applyAlignment="0" applyProtection="0"/>
    <xf numFmtId="0" fontId="6" fillId="20" borderId="167" applyNumberFormat="0" applyAlignment="0" applyProtection="0"/>
    <xf numFmtId="0" fontId="13" fillId="20" borderId="169" applyNumberFormat="0" applyAlignment="0" applyProtection="0"/>
    <xf numFmtId="0" fontId="8" fillId="21" borderId="168" applyNumberFormat="0" applyFont="0" applyAlignment="0" applyProtection="0"/>
    <xf numFmtId="0" fontId="9" fillId="7" borderId="167" applyNumberFormat="0" applyAlignment="0" applyProtection="0"/>
    <xf numFmtId="0" fontId="19" fillId="0" borderId="170" applyNumberFormat="0" applyFill="0" applyAlignment="0" applyProtection="0"/>
    <xf numFmtId="0" fontId="8" fillId="21" borderId="168" applyNumberFormat="0" applyFont="0" applyAlignment="0" applyProtection="0"/>
    <xf numFmtId="0" fontId="9" fillId="7" borderId="167" applyNumberFormat="0" applyAlignment="0" applyProtection="0"/>
    <xf numFmtId="0" fontId="9" fillId="7" borderId="167" applyNumberFormat="0" applyAlignment="0" applyProtection="0"/>
    <xf numFmtId="0" fontId="19" fillId="0" borderId="170" applyNumberFormat="0" applyFill="0" applyAlignment="0" applyProtection="0"/>
    <xf numFmtId="0" fontId="19" fillId="0" borderId="170" applyNumberFormat="0" applyFill="0" applyAlignment="0" applyProtection="0"/>
    <xf numFmtId="0" fontId="13" fillId="20" borderId="169" applyNumberFormat="0" applyAlignment="0" applyProtection="0"/>
    <xf numFmtId="0" fontId="8" fillId="21" borderId="168" applyNumberFormat="0" applyFont="0" applyAlignment="0" applyProtection="0"/>
    <xf numFmtId="0" fontId="6" fillId="20" borderId="167" applyNumberFormat="0" applyAlignment="0" applyProtection="0"/>
    <xf numFmtId="0" fontId="13" fillId="20" borderId="169" applyNumberFormat="0" applyAlignment="0" applyProtection="0"/>
    <xf numFmtId="0" fontId="19" fillId="0" borderId="170" applyNumberFormat="0" applyFill="0" applyAlignment="0" applyProtection="0"/>
    <xf numFmtId="0" fontId="6" fillId="20" borderId="167" applyNumberFormat="0" applyAlignment="0" applyProtection="0"/>
    <xf numFmtId="0" fontId="6" fillId="20" borderId="167" applyNumberFormat="0" applyAlignment="0" applyProtection="0"/>
    <xf numFmtId="0" fontId="8" fillId="21" borderId="168" applyNumberFormat="0" applyFont="0" applyAlignment="0" applyProtection="0"/>
    <xf numFmtId="0" fontId="9" fillId="7" borderId="167" applyNumberFormat="0" applyAlignment="0" applyProtection="0"/>
    <xf numFmtId="0" fontId="13" fillId="20" borderId="169" applyNumberFormat="0" applyAlignment="0" applyProtection="0"/>
    <xf numFmtId="0" fontId="19" fillId="0" borderId="170" applyNumberFormat="0" applyFill="0" applyAlignment="0" applyProtection="0"/>
    <xf numFmtId="0" fontId="19" fillId="0" borderId="170" applyNumberFormat="0" applyFill="0" applyAlignment="0" applyProtection="0"/>
    <xf numFmtId="0" fontId="6" fillId="20" borderId="167" applyNumberFormat="0" applyAlignment="0" applyProtection="0"/>
    <xf numFmtId="0" fontId="19" fillId="0" borderId="170" applyNumberFormat="0" applyFill="0" applyAlignment="0" applyProtection="0"/>
    <xf numFmtId="0" fontId="6" fillId="20" borderId="163" applyNumberFormat="0" applyAlignment="0" applyProtection="0"/>
    <xf numFmtId="0" fontId="13" fillId="20" borderId="169" applyNumberFormat="0" applyAlignment="0" applyProtection="0"/>
    <xf numFmtId="0" fontId="8" fillId="21" borderId="164" applyNumberFormat="0" applyFont="0" applyAlignment="0" applyProtection="0"/>
    <xf numFmtId="0" fontId="9" fillId="7" borderId="163" applyNumberFormat="0" applyAlignment="0" applyProtection="0"/>
    <xf numFmtId="0" fontId="6" fillId="20" borderId="167" applyNumberFormat="0" applyAlignment="0" applyProtection="0"/>
    <xf numFmtId="0" fontId="19" fillId="0" borderId="170" applyNumberFormat="0" applyFill="0" applyAlignment="0" applyProtection="0"/>
    <xf numFmtId="0" fontId="8" fillId="21" borderId="168" applyNumberFormat="0" applyFont="0" applyAlignment="0" applyProtection="0"/>
    <xf numFmtId="0" fontId="19" fillId="0" borderId="170" applyNumberFormat="0" applyFill="0" applyAlignment="0" applyProtection="0"/>
    <xf numFmtId="0" fontId="13" fillId="20" borderId="165" applyNumberFormat="0" applyAlignment="0" applyProtection="0"/>
    <xf numFmtId="0" fontId="13" fillId="20" borderId="169" applyNumberFormat="0" applyAlignment="0" applyProtection="0"/>
    <xf numFmtId="0" fontId="13" fillId="20" borderId="169" applyNumberFormat="0" applyAlignment="0" applyProtection="0"/>
    <xf numFmtId="0" fontId="19" fillId="0" borderId="170" applyNumberFormat="0" applyFill="0" applyAlignment="0" applyProtection="0"/>
    <xf numFmtId="0" fontId="6" fillId="20" borderId="167" applyNumberFormat="0" applyAlignment="0" applyProtection="0"/>
    <xf numFmtId="0" fontId="8" fillId="21" borderId="168" applyNumberFormat="0" applyFont="0" applyAlignment="0" applyProtection="0"/>
    <xf numFmtId="0" fontId="9" fillId="7" borderId="167" applyNumberFormat="0" applyAlignment="0" applyProtection="0"/>
    <xf numFmtId="0" fontId="19" fillId="0" borderId="166" applyNumberFormat="0" applyFill="0" applyAlignment="0" applyProtection="0"/>
    <xf numFmtId="0" fontId="8" fillId="21" borderId="168" applyNumberFormat="0" applyFon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9" fillId="7" borderId="163" applyNumberFormat="0" applyAlignment="0" applyProtection="0"/>
    <xf numFmtId="0" fontId="8" fillId="21" borderId="164" applyNumberFormat="0" applyFont="0" applyAlignment="0" applyProtection="0"/>
    <xf numFmtId="0" fontId="6" fillId="20" borderId="163" applyNumberFormat="0" applyAlignment="0" applyProtection="0"/>
    <xf numFmtId="0" fontId="9" fillId="7" borderId="163" applyNumberFormat="0" applyAlignment="0" applyProtection="0"/>
    <xf numFmtId="0" fontId="8" fillId="21" borderId="164" applyNumberFormat="0" applyFont="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3" fillId="20" borderId="165" applyNumberFormat="0" applyAlignment="0" applyProtection="0"/>
    <xf numFmtId="0" fontId="13" fillId="20" borderId="165" applyNumberFormat="0" applyAlignment="0" applyProtection="0"/>
    <xf numFmtId="0" fontId="13" fillId="20" borderId="165" applyNumberFormat="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6" fillId="20" borderId="163" applyNumberFormat="0" applyAlignment="0" applyProtection="0"/>
    <xf numFmtId="0" fontId="13" fillId="20" borderId="165" applyNumberFormat="0" applyAlignment="0" applyProtection="0"/>
    <xf numFmtId="0" fontId="8" fillId="21" borderId="164" applyNumberFormat="0" applyFont="0" applyAlignment="0" applyProtection="0"/>
    <xf numFmtId="0" fontId="9" fillId="7" borderId="163" applyNumberFormat="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9" fillId="7" borderId="163" applyNumberFormat="0" applyAlignment="0" applyProtection="0"/>
    <xf numFmtId="0" fontId="13" fillId="20" borderId="165"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9" fillId="7" borderId="163" applyNumberFormat="0" applyAlignment="0" applyProtection="0"/>
    <xf numFmtId="0" fontId="8" fillId="21" borderId="164" applyNumberFormat="0" applyFont="0" applyAlignment="0" applyProtection="0"/>
    <xf numFmtId="0" fontId="8" fillId="21" borderId="164" applyNumberFormat="0" applyFont="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9" fillId="7" borderId="163" applyNumberFormat="0" applyAlignment="0" applyProtection="0"/>
    <xf numFmtId="0" fontId="8" fillId="21" borderId="164" applyNumberFormat="0" applyFont="0" applyAlignment="0" applyProtection="0"/>
    <xf numFmtId="0" fontId="13" fillId="20" borderId="165" applyNumberForma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3" fillId="20" borderId="165" applyNumberFormat="0" applyAlignment="0" applyProtection="0"/>
    <xf numFmtId="0" fontId="19" fillId="0" borderId="166" applyNumberFormat="0" applyFill="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9" fillId="7" borderId="167"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9" fillId="7" borderId="163" applyNumberFormat="0" applyAlignment="0" applyProtection="0"/>
    <xf numFmtId="0" fontId="8" fillId="21" borderId="164" applyNumberFormat="0" applyFont="0" applyAlignment="0" applyProtection="0"/>
    <xf numFmtId="0" fontId="6" fillId="20" borderId="163" applyNumberFormat="0" applyAlignment="0" applyProtection="0"/>
    <xf numFmtId="0" fontId="9" fillId="7" borderId="163" applyNumberFormat="0" applyAlignment="0" applyProtection="0"/>
    <xf numFmtId="0" fontId="8" fillId="21" borderId="164" applyNumberFormat="0" applyFont="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3" fillId="20" borderId="165" applyNumberFormat="0" applyAlignment="0" applyProtection="0"/>
    <xf numFmtId="0" fontId="13" fillId="20" borderId="165" applyNumberFormat="0" applyAlignment="0" applyProtection="0"/>
    <xf numFmtId="0" fontId="13" fillId="20" borderId="165" applyNumberFormat="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6" fillId="20" borderId="163" applyNumberFormat="0" applyAlignment="0" applyProtection="0"/>
    <xf numFmtId="0" fontId="13" fillId="20" borderId="165" applyNumberFormat="0" applyAlignment="0" applyProtection="0"/>
    <xf numFmtId="0" fontId="8" fillId="21" borderId="164" applyNumberFormat="0" applyFont="0" applyAlignment="0" applyProtection="0"/>
    <xf numFmtId="0" fontId="9" fillId="7" borderId="163" applyNumberFormat="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9" fillId="7" borderId="163" applyNumberFormat="0" applyAlignment="0" applyProtection="0"/>
    <xf numFmtId="0" fontId="13" fillId="20" borderId="165"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9" fillId="7" borderId="163" applyNumberFormat="0" applyAlignment="0" applyProtection="0"/>
    <xf numFmtId="0" fontId="8" fillId="21" borderId="164" applyNumberFormat="0" applyFont="0" applyAlignment="0" applyProtection="0"/>
    <xf numFmtId="0" fontId="8" fillId="21" borderId="164" applyNumberFormat="0" applyFont="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9" fillId="7" borderId="163" applyNumberFormat="0" applyAlignment="0" applyProtection="0"/>
    <xf numFmtId="0" fontId="8" fillId="21" borderId="164" applyNumberFormat="0" applyFont="0" applyAlignment="0" applyProtection="0"/>
    <xf numFmtId="0" fontId="13" fillId="20" borderId="165" applyNumberForma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3" fillId="20" borderId="165" applyNumberFormat="0" applyAlignment="0" applyProtection="0"/>
    <xf numFmtId="0" fontId="19" fillId="0" borderId="166" applyNumberFormat="0" applyFill="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19" fillId="0" borderId="166" applyNumberFormat="0" applyFill="0" applyAlignment="0" applyProtection="0"/>
    <xf numFmtId="0" fontId="6" fillId="20" borderId="163" applyNumberFormat="0" applyAlignment="0" applyProtection="0"/>
    <xf numFmtId="0" fontId="8" fillId="21" borderId="164" applyNumberFormat="0" applyFont="0" applyAlignment="0" applyProtection="0"/>
    <xf numFmtId="0" fontId="9" fillId="7" borderId="163" applyNumberFormat="0" applyAlignment="0" applyProtection="0"/>
    <xf numFmtId="0" fontId="13" fillId="20" borderId="165" applyNumberFormat="0" applyAlignment="0" applyProtection="0"/>
    <xf numFmtId="0" fontId="19" fillId="0" borderId="166" applyNumberFormat="0" applyFill="0" applyAlignment="0" applyProtection="0"/>
    <xf numFmtId="0" fontId="9" fillId="7" borderId="167" applyNumberFormat="0" applyAlignment="0" applyProtection="0"/>
    <xf numFmtId="0" fontId="19" fillId="0" borderId="170" applyNumberFormat="0" applyFill="0" applyAlignment="0" applyProtection="0"/>
    <xf numFmtId="0" fontId="8" fillId="21" borderId="168" applyNumberFormat="0" applyFont="0" applyAlignment="0" applyProtection="0"/>
    <xf numFmtId="0" fontId="8" fillId="21" borderId="168" applyNumberFormat="0" applyFont="0" applyAlignment="0" applyProtection="0"/>
    <xf numFmtId="0" fontId="6" fillId="20" borderId="167" applyNumberFormat="0" applyAlignment="0" applyProtection="0"/>
    <xf numFmtId="0" fontId="6" fillId="20" borderId="167" applyNumberFormat="0" applyAlignment="0" applyProtection="0"/>
    <xf numFmtId="0" fontId="6" fillId="20" borderId="167" applyNumberFormat="0" applyAlignment="0" applyProtection="0"/>
    <xf numFmtId="0" fontId="19" fillId="0" borderId="170" applyNumberFormat="0" applyFill="0" applyAlignment="0" applyProtection="0"/>
    <xf numFmtId="0" fontId="19" fillId="0" borderId="174" applyNumberFormat="0" applyFill="0" applyAlignment="0" applyProtection="0"/>
    <xf numFmtId="0" fontId="9" fillId="7" borderId="167" applyNumberFormat="0" applyAlignment="0" applyProtection="0"/>
    <xf numFmtId="0" fontId="19" fillId="0" borderId="170" applyNumberFormat="0" applyFill="0" applyAlignment="0" applyProtection="0"/>
    <xf numFmtId="0" fontId="8" fillId="21" borderId="168" applyNumberFormat="0" applyFont="0" applyAlignment="0" applyProtection="0"/>
    <xf numFmtId="0" fontId="9" fillId="7" borderId="167" applyNumberFormat="0" applyAlignment="0" applyProtection="0"/>
    <xf numFmtId="0" fontId="8" fillId="21" borderId="168" applyNumberFormat="0" applyFont="0" applyAlignment="0" applyProtection="0"/>
    <xf numFmtId="0" fontId="13" fillId="20" borderId="169" applyNumberFormat="0" applyAlignment="0" applyProtection="0"/>
    <xf numFmtId="0" fontId="13" fillId="20" borderId="169" applyNumberFormat="0" applyAlignment="0" applyProtection="0"/>
    <xf numFmtId="0" fontId="6" fillId="20" borderId="167" applyNumberFormat="0" applyAlignment="0" applyProtection="0"/>
    <xf numFmtId="0" fontId="19" fillId="0" borderId="170" applyNumberFormat="0" applyFill="0" applyAlignment="0" applyProtection="0"/>
    <xf numFmtId="0" fontId="19" fillId="0" borderId="170" applyNumberFormat="0" applyFill="0" applyAlignment="0" applyProtection="0"/>
    <xf numFmtId="0" fontId="6" fillId="20" borderId="167" applyNumberFormat="0" applyAlignment="0" applyProtection="0"/>
    <xf numFmtId="0" fontId="13" fillId="20" borderId="169" applyNumberFormat="0" applyAlignment="0" applyProtection="0"/>
    <xf numFmtId="0" fontId="6" fillId="20" borderId="167" applyNumberFormat="0" applyAlignment="0" applyProtection="0"/>
    <xf numFmtId="0" fontId="6" fillId="20" borderId="171" applyNumberFormat="0" applyAlignment="0" applyProtection="0"/>
    <xf numFmtId="0" fontId="9" fillId="7" borderId="167" applyNumberFormat="0" applyAlignment="0" applyProtection="0"/>
    <xf numFmtId="0" fontId="9" fillId="7" borderId="167" applyNumberFormat="0" applyAlignment="0" applyProtection="0"/>
    <xf numFmtId="0" fontId="19" fillId="0" borderId="170" applyNumberFormat="0" applyFill="0" applyAlignment="0" applyProtection="0"/>
    <xf numFmtId="0" fontId="6" fillId="20" borderId="167" applyNumberFormat="0" applyAlignment="0" applyProtection="0"/>
    <xf numFmtId="0" fontId="19" fillId="0" borderId="174" applyNumberFormat="0" applyFill="0" applyAlignment="0" applyProtection="0"/>
    <xf numFmtId="0" fontId="13" fillId="20" borderId="169" applyNumberFormat="0" applyAlignment="0" applyProtection="0"/>
    <xf numFmtId="0" fontId="19" fillId="0" borderId="170" applyNumberFormat="0" applyFill="0" applyAlignment="0" applyProtection="0"/>
    <xf numFmtId="0" fontId="8" fillId="21" borderId="168" applyNumberFormat="0" applyFont="0" applyAlignment="0" applyProtection="0"/>
    <xf numFmtId="0" fontId="13" fillId="20" borderId="169" applyNumberFormat="0" applyAlignment="0" applyProtection="0"/>
    <xf numFmtId="0" fontId="13" fillId="20" borderId="169" applyNumberFormat="0" applyAlignment="0" applyProtection="0"/>
    <xf numFmtId="0" fontId="8" fillId="21" borderId="168" applyNumberFormat="0" applyFont="0" applyAlignment="0" applyProtection="0"/>
    <xf numFmtId="0" fontId="9" fillId="7" borderId="167" applyNumberFormat="0" applyAlignment="0" applyProtection="0"/>
    <xf numFmtId="0" fontId="9" fillId="7" borderId="167" applyNumberFormat="0" applyAlignment="0" applyProtection="0"/>
    <xf numFmtId="0" fontId="6" fillId="20" borderId="171" applyNumberFormat="0" applyAlignment="0" applyProtection="0"/>
    <xf numFmtId="0" fontId="13" fillId="20" borderId="169" applyNumberFormat="0" applyAlignment="0" applyProtection="0"/>
    <xf numFmtId="0" fontId="8" fillId="21" borderId="168" applyNumberFormat="0" applyFont="0" applyAlignment="0" applyProtection="0"/>
    <xf numFmtId="0" fontId="6" fillId="20" borderId="167" applyNumberFormat="0" applyAlignment="0" applyProtection="0"/>
    <xf numFmtId="0" fontId="6" fillId="20" borderId="167" applyNumberFormat="0" applyAlignment="0" applyProtection="0"/>
    <xf numFmtId="0" fontId="19" fillId="0" borderId="174" applyNumberFormat="0" applyFill="0" applyAlignment="0" applyProtection="0"/>
    <xf numFmtId="0" fontId="8" fillId="21" borderId="168" applyNumberFormat="0" applyFont="0" applyAlignment="0" applyProtection="0"/>
    <xf numFmtId="0" fontId="6" fillId="20" borderId="167" applyNumberFormat="0" applyAlignment="0" applyProtection="0"/>
    <xf numFmtId="0" fontId="6" fillId="20" borderId="167" applyNumberFormat="0" applyAlignment="0" applyProtection="0"/>
    <xf numFmtId="0" fontId="6" fillId="20" borderId="167" applyNumberFormat="0" applyAlignment="0" applyProtection="0"/>
    <xf numFmtId="0" fontId="19" fillId="0" borderId="174" applyNumberFormat="0" applyFill="0" applyAlignment="0" applyProtection="0"/>
    <xf numFmtId="0" fontId="13" fillId="20" borderId="173" applyNumberFormat="0" applyAlignment="0" applyProtection="0"/>
    <xf numFmtId="0" fontId="19" fillId="0" borderId="170" applyNumberFormat="0" applyFill="0" applyAlignment="0" applyProtection="0"/>
    <xf numFmtId="0" fontId="8" fillId="21" borderId="168" applyNumberFormat="0" applyFont="0" applyAlignment="0" applyProtection="0"/>
    <xf numFmtId="0" fontId="19" fillId="0" borderId="170" applyNumberFormat="0" applyFill="0" applyAlignment="0" applyProtection="0"/>
    <xf numFmtId="0" fontId="9" fillId="7" borderId="167" applyNumberFormat="0" applyAlignment="0" applyProtection="0"/>
    <xf numFmtId="0" fontId="19" fillId="0" borderId="174" applyNumberFormat="0" applyFill="0" applyAlignment="0" applyProtection="0"/>
    <xf numFmtId="0" fontId="8" fillId="21" borderId="168" applyNumberFormat="0" applyFont="0" applyAlignment="0" applyProtection="0"/>
    <xf numFmtId="0" fontId="13" fillId="20" borderId="169" applyNumberFormat="0" applyAlignment="0" applyProtection="0"/>
    <xf numFmtId="0" fontId="13" fillId="20" borderId="169" applyNumberFormat="0" applyAlignment="0" applyProtection="0"/>
    <xf numFmtId="0" fontId="9" fillId="7" borderId="167" applyNumberFormat="0" applyAlignment="0" applyProtection="0"/>
    <xf numFmtId="0" fontId="6" fillId="20" borderId="167" applyNumberFormat="0" applyAlignment="0" applyProtection="0"/>
    <xf numFmtId="0" fontId="9" fillId="7" borderId="171" applyNumberFormat="0" applyAlignment="0" applyProtection="0"/>
    <xf numFmtId="0" fontId="9" fillId="7" borderId="167" applyNumberFormat="0" applyAlignment="0" applyProtection="0"/>
    <xf numFmtId="0" fontId="13" fillId="20" borderId="169" applyNumberFormat="0" applyAlignment="0" applyProtection="0"/>
    <xf numFmtId="0" fontId="6" fillId="20" borderId="167" applyNumberFormat="0" applyAlignment="0" applyProtection="0"/>
    <xf numFmtId="0" fontId="13" fillId="20" borderId="169" applyNumberFormat="0" applyAlignment="0" applyProtection="0"/>
    <xf numFmtId="0" fontId="6" fillId="20" borderId="167" applyNumberFormat="0" applyAlignment="0" applyProtection="0"/>
    <xf numFmtId="0" fontId="6" fillId="20" borderId="167" applyNumberFormat="0" applyAlignment="0" applyProtection="0"/>
    <xf numFmtId="0" fontId="13" fillId="20" borderId="169" applyNumberFormat="0" applyAlignment="0" applyProtection="0"/>
    <xf numFmtId="0" fontId="13" fillId="20" borderId="169" applyNumberFormat="0" applyAlignment="0" applyProtection="0"/>
    <xf numFmtId="0" fontId="9" fillId="7" borderId="167" applyNumberFormat="0" applyAlignment="0" applyProtection="0"/>
    <xf numFmtId="0" fontId="9" fillId="7" borderId="167" applyNumberFormat="0" applyAlignment="0" applyProtection="0"/>
    <xf numFmtId="0" fontId="19" fillId="0" borderId="170" applyNumberFormat="0" applyFill="0" applyAlignment="0" applyProtection="0"/>
    <xf numFmtId="0" fontId="13" fillId="20" borderId="169" applyNumberFormat="0" applyAlignment="0" applyProtection="0"/>
    <xf numFmtId="0" fontId="9" fillId="7" borderId="167" applyNumberFormat="0" applyAlignment="0" applyProtection="0"/>
    <xf numFmtId="0" fontId="8" fillId="21" borderId="168" applyNumberFormat="0" applyFont="0" applyAlignment="0" applyProtection="0"/>
    <xf numFmtId="0" fontId="6" fillId="20" borderId="167" applyNumberFormat="0" applyAlignment="0" applyProtection="0"/>
    <xf numFmtId="0" fontId="8" fillId="21" borderId="168" applyNumberFormat="0" applyFont="0" applyAlignment="0" applyProtection="0"/>
    <xf numFmtId="0" fontId="6" fillId="20" borderId="167" applyNumberFormat="0" applyAlignment="0" applyProtection="0"/>
    <xf numFmtId="0" fontId="8" fillId="21" borderId="168" applyNumberFormat="0" applyFont="0" applyAlignment="0" applyProtection="0"/>
    <xf numFmtId="0" fontId="19" fillId="0" borderId="170" applyNumberFormat="0" applyFill="0" applyAlignment="0" applyProtection="0"/>
    <xf numFmtId="0" fontId="6" fillId="20" borderId="167" applyNumberFormat="0" applyAlignment="0" applyProtection="0"/>
    <xf numFmtId="0" fontId="8" fillId="21" borderId="168" applyNumberFormat="0" applyFont="0" applyAlignment="0" applyProtection="0"/>
    <xf numFmtId="0" fontId="8" fillId="21" borderId="168" applyNumberFormat="0" applyFont="0" applyAlignment="0" applyProtection="0"/>
    <xf numFmtId="0" fontId="8" fillId="21" borderId="168" applyNumberFormat="0" applyFont="0" applyAlignment="0" applyProtection="0"/>
    <xf numFmtId="0" fontId="6" fillId="20" borderId="167" applyNumberFormat="0" applyAlignment="0" applyProtection="0"/>
    <xf numFmtId="0" fontId="8" fillId="21" borderId="168" applyNumberFormat="0" applyFont="0" applyAlignment="0" applyProtection="0"/>
    <xf numFmtId="0" fontId="19" fillId="0" borderId="174" applyNumberFormat="0" applyFill="0" applyAlignment="0" applyProtection="0"/>
    <xf numFmtId="0" fontId="9" fillId="7" borderId="167" applyNumberFormat="0" applyAlignment="0" applyProtection="0"/>
    <xf numFmtId="0" fontId="9" fillId="7" borderId="171" applyNumberFormat="0" applyAlignment="0" applyProtection="0"/>
    <xf numFmtId="0" fontId="9" fillId="7" borderId="167" applyNumberFormat="0" applyAlignment="0" applyProtection="0"/>
    <xf numFmtId="0" fontId="19" fillId="0" borderId="170" applyNumberFormat="0" applyFill="0" applyAlignment="0" applyProtection="0"/>
    <xf numFmtId="0" fontId="9" fillId="7" borderId="167" applyNumberFormat="0" applyAlignment="0" applyProtection="0"/>
    <xf numFmtId="0" fontId="19" fillId="0" borderId="170" applyNumberFormat="0" applyFill="0" applyAlignment="0" applyProtection="0"/>
    <xf numFmtId="0" fontId="6" fillId="20" borderId="167" applyNumberFormat="0" applyAlignment="0" applyProtection="0"/>
    <xf numFmtId="0" fontId="13" fillId="20" borderId="173" applyNumberFormat="0" applyAlignment="0" applyProtection="0"/>
    <xf numFmtId="0" fontId="6" fillId="20" borderId="171" applyNumberFormat="0" applyAlignment="0" applyProtection="0"/>
    <xf numFmtId="0" fontId="6" fillId="20" borderId="167" applyNumberFormat="0" applyAlignment="0" applyProtection="0"/>
    <xf numFmtId="0" fontId="13" fillId="20" borderId="169" applyNumberFormat="0" applyAlignment="0" applyProtection="0"/>
    <xf numFmtId="0" fontId="13" fillId="20" borderId="169" applyNumberFormat="0" applyAlignment="0" applyProtection="0"/>
    <xf numFmtId="0" fontId="9" fillId="7" borderId="167" applyNumberFormat="0" applyAlignment="0" applyProtection="0"/>
    <xf numFmtId="0" fontId="9" fillId="7" borderId="167" applyNumberFormat="0" applyAlignment="0" applyProtection="0"/>
    <xf numFmtId="0" fontId="6" fillId="20" borderId="167" applyNumberFormat="0" applyAlignment="0" applyProtection="0"/>
    <xf numFmtId="0" fontId="19" fillId="0" borderId="170" applyNumberFormat="0" applyFill="0" applyAlignment="0" applyProtection="0"/>
    <xf numFmtId="0" fontId="8" fillId="21" borderId="168" applyNumberFormat="0" applyFont="0" applyAlignment="0" applyProtection="0"/>
    <xf numFmtId="0" fontId="19" fillId="0" borderId="170" applyNumberFormat="0" applyFill="0" applyAlignment="0" applyProtection="0"/>
    <xf numFmtId="0" fontId="8" fillId="21" borderId="168" applyNumberFormat="0" applyFont="0" applyAlignment="0" applyProtection="0"/>
    <xf numFmtId="0" fontId="13" fillId="20" borderId="169" applyNumberFormat="0" applyAlignment="0" applyProtection="0"/>
    <xf numFmtId="0" fontId="19" fillId="0" borderId="174" applyNumberFormat="0" applyFill="0" applyAlignment="0" applyProtection="0"/>
    <xf numFmtId="0" fontId="19" fillId="0" borderId="170" applyNumberFormat="0" applyFill="0" applyAlignment="0" applyProtection="0"/>
    <xf numFmtId="0" fontId="9" fillId="7" borderId="167" applyNumberFormat="0" applyAlignment="0" applyProtection="0"/>
    <xf numFmtId="0" fontId="9" fillId="7" borderId="167" applyNumberFormat="0" applyAlignment="0" applyProtection="0"/>
    <xf numFmtId="0" fontId="19" fillId="0" borderId="170" applyNumberFormat="0" applyFill="0" applyAlignment="0" applyProtection="0"/>
    <xf numFmtId="0" fontId="13" fillId="20" borderId="169" applyNumberFormat="0" applyAlignment="0" applyProtection="0"/>
    <xf numFmtId="0" fontId="9" fillId="7" borderId="171" applyNumberFormat="0" applyAlignment="0" applyProtection="0"/>
    <xf numFmtId="0" fontId="19" fillId="0" borderId="174" applyNumberFormat="0" applyFill="0" applyAlignment="0" applyProtection="0"/>
    <xf numFmtId="0" fontId="9" fillId="7" borderId="167" applyNumberFormat="0" applyAlignment="0" applyProtection="0"/>
    <xf numFmtId="0" fontId="8" fillId="21" borderId="168" applyNumberFormat="0" applyFont="0" applyAlignment="0" applyProtection="0"/>
    <xf numFmtId="0" fontId="9" fillId="7" borderId="167" applyNumberFormat="0" applyAlignment="0" applyProtection="0"/>
    <xf numFmtId="0" fontId="13" fillId="20" borderId="169" applyNumberFormat="0" applyAlignment="0" applyProtection="0"/>
    <xf numFmtId="0" fontId="6" fillId="20" borderId="167" applyNumberFormat="0" applyAlignment="0" applyProtection="0"/>
    <xf numFmtId="0" fontId="19" fillId="0" borderId="170" applyNumberFormat="0" applyFill="0" applyAlignment="0" applyProtection="0"/>
    <xf numFmtId="0" fontId="8" fillId="21" borderId="168" applyNumberFormat="0" applyFont="0" applyAlignment="0" applyProtection="0"/>
    <xf numFmtId="0" fontId="13" fillId="20" borderId="169" applyNumberFormat="0" applyAlignment="0" applyProtection="0"/>
    <xf numFmtId="0" fontId="6" fillId="20" borderId="167" applyNumberFormat="0" applyAlignment="0" applyProtection="0"/>
    <xf numFmtId="0" fontId="9" fillId="7" borderId="171" applyNumberFormat="0" applyAlignment="0" applyProtection="0"/>
    <xf numFmtId="0" fontId="13" fillId="20" borderId="169" applyNumberFormat="0" applyAlignment="0" applyProtection="0"/>
    <xf numFmtId="0" fontId="13" fillId="20" borderId="169" applyNumberFormat="0" applyAlignment="0" applyProtection="0"/>
    <xf numFmtId="0" fontId="6" fillId="20" borderId="167" applyNumberFormat="0" applyAlignment="0" applyProtection="0"/>
    <xf numFmtId="0" fontId="8" fillId="21" borderId="168" applyNumberFormat="0" applyFont="0" applyAlignment="0" applyProtection="0"/>
    <xf numFmtId="0" fontId="13" fillId="20" borderId="173" applyNumberFormat="0" applyAlignment="0" applyProtection="0"/>
    <xf numFmtId="0" fontId="8" fillId="21" borderId="168" applyNumberFormat="0" applyFont="0" applyAlignment="0" applyProtection="0"/>
    <xf numFmtId="0" fontId="19" fillId="0" borderId="170" applyNumberFormat="0" applyFill="0" applyAlignment="0" applyProtection="0"/>
    <xf numFmtId="0" fontId="6" fillId="20" borderId="167" applyNumberFormat="0" applyAlignment="0" applyProtection="0"/>
    <xf numFmtId="0" fontId="8" fillId="21" borderId="168" applyNumberFormat="0" applyFont="0" applyAlignment="0" applyProtection="0"/>
    <xf numFmtId="0" fontId="6" fillId="20" borderId="167" applyNumberFormat="0" applyAlignment="0" applyProtection="0"/>
    <xf numFmtId="0" fontId="9" fillId="7" borderId="167" applyNumberFormat="0" applyAlignment="0" applyProtection="0"/>
    <xf numFmtId="0" fontId="9" fillId="7" borderId="167" applyNumberFormat="0" applyAlignment="0" applyProtection="0"/>
    <xf numFmtId="0" fontId="6" fillId="20" borderId="167" applyNumberFormat="0" applyAlignment="0" applyProtection="0"/>
    <xf numFmtId="0" fontId="13" fillId="20" borderId="169" applyNumberFormat="0" applyAlignment="0" applyProtection="0"/>
    <xf numFmtId="0" fontId="19" fillId="0" borderId="170" applyNumberFormat="0" applyFill="0" applyAlignment="0" applyProtection="0"/>
    <xf numFmtId="0" fontId="19" fillId="0" borderId="170" applyNumberFormat="0" applyFill="0" applyAlignment="0" applyProtection="0"/>
    <xf numFmtId="0" fontId="9" fillId="7" borderId="167" applyNumberFormat="0" applyAlignment="0" applyProtection="0"/>
    <xf numFmtId="0" fontId="19" fillId="0" borderId="170" applyNumberFormat="0" applyFill="0" applyAlignment="0" applyProtection="0"/>
    <xf numFmtId="0" fontId="6" fillId="20" borderId="171" applyNumberFormat="0" applyAlignment="0" applyProtection="0"/>
    <xf numFmtId="0" fontId="19" fillId="0" borderId="170" applyNumberFormat="0" applyFill="0" applyAlignment="0" applyProtection="0"/>
    <xf numFmtId="0" fontId="8" fillId="21" borderId="168" applyNumberFormat="0" applyFont="0" applyAlignment="0" applyProtection="0"/>
    <xf numFmtId="0" fontId="13" fillId="20" borderId="169" applyNumberFormat="0" applyAlignment="0" applyProtection="0"/>
    <xf numFmtId="0" fontId="19" fillId="0" borderId="170" applyNumberFormat="0" applyFill="0" applyAlignment="0" applyProtection="0"/>
    <xf numFmtId="0" fontId="13" fillId="20" borderId="173" applyNumberFormat="0" applyAlignment="0" applyProtection="0"/>
    <xf numFmtId="0" fontId="9" fillId="7" borderId="167" applyNumberFormat="0" applyAlignment="0" applyProtection="0"/>
    <xf numFmtId="0" fontId="9" fillId="7" borderId="167" applyNumberFormat="0" applyAlignment="0" applyProtection="0"/>
    <xf numFmtId="0" fontId="13" fillId="20" borderId="169" applyNumberFormat="0" applyAlignment="0" applyProtection="0"/>
    <xf numFmtId="0" fontId="8" fillId="21" borderId="172" applyNumberFormat="0" applyFont="0" applyAlignment="0" applyProtection="0"/>
    <xf numFmtId="0" fontId="9" fillId="7" borderId="167" applyNumberFormat="0" applyAlignment="0" applyProtection="0"/>
    <xf numFmtId="0" fontId="6" fillId="20" borderId="167" applyNumberFormat="0" applyAlignment="0" applyProtection="0"/>
    <xf numFmtId="0" fontId="8" fillId="21" borderId="168" applyNumberFormat="0" applyFont="0" applyAlignment="0" applyProtection="0"/>
    <xf numFmtId="0" fontId="8" fillId="21" borderId="168" applyNumberFormat="0" applyFont="0" applyAlignment="0" applyProtection="0"/>
    <xf numFmtId="0" fontId="9" fillId="7" borderId="171" applyNumberFormat="0" applyAlignment="0" applyProtection="0"/>
    <xf numFmtId="0" fontId="8" fillId="21" borderId="168" applyNumberFormat="0" applyFont="0" applyAlignment="0" applyProtection="0"/>
    <xf numFmtId="0" fontId="6" fillId="20" borderId="167" applyNumberFormat="0" applyAlignment="0" applyProtection="0"/>
    <xf numFmtId="0" fontId="19" fillId="0" borderId="170" applyNumberFormat="0" applyFill="0" applyAlignment="0" applyProtection="0"/>
    <xf numFmtId="0" fontId="13" fillId="20" borderId="169" applyNumberFormat="0" applyAlignment="0" applyProtection="0"/>
    <xf numFmtId="0" fontId="8" fillId="21" borderId="172" applyNumberFormat="0" applyFont="0" applyAlignment="0" applyProtection="0"/>
    <xf numFmtId="0" fontId="6" fillId="20" borderId="167" applyNumberFormat="0" applyAlignment="0" applyProtection="0"/>
    <xf numFmtId="0" fontId="8" fillId="21" borderId="168" applyNumberFormat="0" applyFont="0" applyAlignment="0" applyProtection="0"/>
    <xf numFmtId="0" fontId="19" fillId="0" borderId="174" applyNumberFormat="0" applyFill="0" applyAlignment="0" applyProtection="0"/>
    <xf numFmtId="0" fontId="13" fillId="20" borderId="169" applyNumberFormat="0" applyAlignment="0" applyProtection="0"/>
    <xf numFmtId="0" fontId="8" fillId="21" borderId="172" applyNumberFormat="0" applyFont="0" applyAlignment="0" applyProtection="0"/>
    <xf numFmtId="0" fontId="9" fillId="7" borderId="167" applyNumberFormat="0" applyAlignment="0" applyProtection="0"/>
    <xf numFmtId="0" fontId="19" fillId="0" borderId="170" applyNumberFormat="0" applyFill="0" applyAlignment="0" applyProtection="0"/>
    <xf numFmtId="0" fontId="9" fillId="7" borderId="167" applyNumberFormat="0" applyAlignment="0" applyProtection="0"/>
    <xf numFmtId="0" fontId="13" fillId="20" borderId="169" applyNumberFormat="0" applyAlignment="0" applyProtection="0"/>
    <xf numFmtId="0" fontId="8" fillId="21" borderId="168" applyNumberFormat="0" applyFont="0" applyAlignment="0" applyProtection="0"/>
    <xf numFmtId="0" fontId="9" fillId="7" borderId="171" applyNumberFormat="0" applyAlignment="0" applyProtection="0"/>
    <xf numFmtId="0" fontId="6" fillId="20" borderId="171" applyNumberFormat="0" applyAlignment="0" applyProtection="0"/>
    <xf numFmtId="0" fontId="9" fillId="7" borderId="167" applyNumberFormat="0" applyAlignment="0" applyProtection="0"/>
    <xf numFmtId="0" fontId="9" fillId="7" borderId="167" applyNumberFormat="0" applyAlignment="0" applyProtection="0"/>
    <xf numFmtId="0" fontId="8" fillId="21" borderId="168" applyNumberFormat="0" applyFont="0" applyAlignment="0" applyProtection="0"/>
    <xf numFmtId="0" fontId="6" fillId="20" borderId="167" applyNumberFormat="0" applyAlignment="0" applyProtection="0"/>
    <xf numFmtId="0" fontId="6" fillId="20" borderId="171" applyNumberFormat="0" applyAlignment="0" applyProtection="0"/>
    <xf numFmtId="0" fontId="8" fillId="21" borderId="168" applyNumberFormat="0" applyFont="0" applyAlignment="0" applyProtection="0"/>
    <xf numFmtId="0" fontId="9" fillId="7" borderId="167" applyNumberFormat="0" applyAlignment="0" applyProtection="0"/>
    <xf numFmtId="0" fontId="6" fillId="20" borderId="167" applyNumberFormat="0" applyAlignment="0" applyProtection="0"/>
    <xf numFmtId="0" fontId="13" fillId="20" borderId="169" applyNumberFormat="0" applyAlignment="0" applyProtection="0"/>
    <xf numFmtId="0" fontId="19" fillId="0" borderId="170" applyNumberFormat="0" applyFill="0" applyAlignment="0" applyProtection="0"/>
    <xf numFmtId="0" fontId="6" fillId="20" borderId="167" applyNumberFormat="0" applyAlignment="0" applyProtection="0"/>
    <xf numFmtId="0" fontId="9" fillId="7" borderId="167" applyNumberFormat="0" applyAlignment="0" applyProtection="0"/>
    <xf numFmtId="0" fontId="9" fillId="7" borderId="167" applyNumberFormat="0" applyAlignment="0" applyProtection="0"/>
    <xf numFmtId="0" fontId="8" fillId="21" borderId="168" applyNumberFormat="0" applyFont="0" applyAlignment="0" applyProtection="0"/>
    <xf numFmtId="0" fontId="13" fillId="20" borderId="169" applyNumberFormat="0" applyAlignment="0" applyProtection="0"/>
    <xf numFmtId="0" fontId="19" fillId="0" borderId="170" applyNumberFormat="0" applyFill="0" applyAlignment="0" applyProtection="0"/>
    <xf numFmtId="0" fontId="19" fillId="0" borderId="170" applyNumberFormat="0" applyFill="0" applyAlignment="0" applyProtection="0"/>
    <xf numFmtId="0" fontId="8" fillId="21" borderId="168" applyNumberFormat="0" applyFont="0" applyAlignment="0" applyProtection="0"/>
    <xf numFmtId="0" fontId="6" fillId="20" borderId="167" applyNumberFormat="0" applyAlignment="0" applyProtection="0"/>
    <xf numFmtId="0" fontId="19" fillId="0" borderId="170" applyNumberFormat="0" applyFill="0" applyAlignment="0" applyProtection="0"/>
    <xf numFmtId="0" fontId="6" fillId="20" borderId="167" applyNumberFormat="0" applyAlignment="0" applyProtection="0"/>
    <xf numFmtId="0" fontId="19" fillId="0" borderId="170" applyNumberFormat="0" applyFill="0" applyAlignment="0" applyProtection="0"/>
    <xf numFmtId="0" fontId="9" fillId="7" borderId="167" applyNumberFormat="0" applyAlignment="0" applyProtection="0"/>
    <xf numFmtId="0" fontId="13" fillId="20" borderId="169" applyNumberFormat="0" applyAlignment="0" applyProtection="0"/>
    <xf numFmtId="0" fontId="8" fillId="21" borderId="172" applyNumberFormat="0" applyFont="0" applyAlignment="0" applyProtection="0"/>
    <xf numFmtId="0" fontId="6" fillId="20" borderId="167" applyNumberFormat="0" applyAlignment="0" applyProtection="0"/>
    <xf numFmtId="0" fontId="6" fillId="20" borderId="167" applyNumberFormat="0" applyAlignment="0" applyProtection="0"/>
    <xf numFmtId="0" fontId="13" fillId="20" borderId="169" applyNumberFormat="0" applyAlignment="0" applyProtection="0"/>
    <xf numFmtId="0" fontId="19" fillId="0" borderId="170" applyNumberFormat="0" applyFill="0" applyAlignment="0" applyProtection="0"/>
    <xf numFmtId="0" fontId="9" fillId="7" borderId="167" applyNumberFormat="0" applyAlignment="0" applyProtection="0"/>
    <xf numFmtId="0" fontId="9" fillId="7" borderId="171" applyNumberFormat="0" applyAlignment="0" applyProtection="0"/>
    <xf numFmtId="0" fontId="8" fillId="21" borderId="168" applyNumberFormat="0" applyFont="0" applyAlignment="0" applyProtection="0"/>
    <xf numFmtId="0" fontId="8" fillId="21" borderId="172" applyNumberFormat="0" applyFont="0" applyAlignment="0" applyProtection="0"/>
    <xf numFmtId="0" fontId="8" fillId="21" borderId="168" applyNumberFormat="0" applyFont="0" applyAlignment="0" applyProtection="0"/>
    <xf numFmtId="0" fontId="19" fillId="0" borderId="170" applyNumberFormat="0" applyFill="0" applyAlignment="0" applyProtection="0"/>
    <xf numFmtId="0" fontId="19" fillId="0" borderId="170" applyNumberFormat="0" applyFill="0" applyAlignment="0" applyProtection="0"/>
    <xf numFmtId="0" fontId="13" fillId="20" borderId="169" applyNumberFormat="0" applyAlignment="0" applyProtection="0"/>
    <xf numFmtId="0" fontId="8" fillId="21" borderId="168" applyNumberFormat="0" applyFont="0" applyAlignment="0" applyProtection="0"/>
    <xf numFmtId="0" fontId="9" fillId="7" borderId="171" applyNumberFormat="0" applyAlignment="0" applyProtection="0"/>
    <xf numFmtId="0" fontId="6" fillId="20" borderId="171" applyNumberFormat="0" applyAlignment="0" applyProtection="0"/>
    <xf numFmtId="0" fontId="6" fillId="20" borderId="167" applyNumberFormat="0" applyAlignment="0" applyProtection="0"/>
    <xf numFmtId="0" fontId="9" fillId="7" borderId="167" applyNumberFormat="0" applyAlignment="0" applyProtection="0"/>
    <xf numFmtId="0" fontId="9" fillId="7" borderId="167" applyNumberFormat="0" applyAlignment="0" applyProtection="0"/>
    <xf numFmtId="0" fontId="8" fillId="21" borderId="168" applyNumberFormat="0" applyFont="0" applyAlignment="0" applyProtection="0"/>
    <xf numFmtId="0" fontId="19" fillId="0" borderId="170" applyNumberFormat="0" applyFill="0" applyAlignment="0" applyProtection="0"/>
    <xf numFmtId="0" fontId="19" fillId="0" borderId="174" applyNumberFormat="0" applyFill="0" applyAlignment="0" applyProtection="0"/>
    <xf numFmtId="0" fontId="13" fillId="20" borderId="169" applyNumberFormat="0" applyAlignment="0" applyProtection="0"/>
    <xf numFmtId="0" fontId="8" fillId="21" borderId="168" applyNumberFormat="0" applyFont="0" applyAlignment="0" applyProtection="0"/>
    <xf numFmtId="0" fontId="13" fillId="20" borderId="169" applyNumberFormat="0" applyAlignment="0" applyProtection="0"/>
    <xf numFmtId="0" fontId="9" fillId="7" borderId="167" applyNumberFormat="0" applyAlignment="0" applyProtection="0"/>
    <xf numFmtId="0" fontId="13" fillId="20" borderId="169" applyNumberFormat="0" applyAlignment="0" applyProtection="0"/>
    <xf numFmtId="0" fontId="13" fillId="20" borderId="173" applyNumberFormat="0" applyAlignment="0" applyProtection="0"/>
    <xf numFmtId="0" fontId="19" fillId="0" borderId="174" applyNumberFormat="0" applyFill="0" applyAlignment="0" applyProtection="0"/>
    <xf numFmtId="0" fontId="13" fillId="20" borderId="169" applyNumberFormat="0" applyAlignment="0" applyProtection="0"/>
    <xf numFmtId="0" fontId="13" fillId="20" borderId="169" applyNumberFormat="0" applyAlignment="0" applyProtection="0"/>
    <xf numFmtId="0" fontId="13" fillId="20" borderId="169" applyNumberFormat="0" applyAlignment="0" applyProtection="0"/>
    <xf numFmtId="0" fontId="19" fillId="0" borderId="170" applyNumberFormat="0" applyFill="0" applyAlignment="0" applyProtection="0"/>
    <xf numFmtId="0" fontId="8" fillId="21" borderId="172" applyNumberFormat="0" applyFont="0" applyAlignment="0" applyProtection="0"/>
    <xf numFmtId="0" fontId="13" fillId="20" borderId="173" applyNumberFormat="0" applyAlignment="0" applyProtection="0"/>
    <xf numFmtId="0" fontId="8" fillId="21" borderId="168" applyNumberFormat="0" applyFont="0" applyAlignment="0" applyProtection="0"/>
    <xf numFmtId="0" fontId="9" fillId="7" borderId="167" applyNumberFormat="0" applyAlignment="0" applyProtection="0"/>
    <xf numFmtId="0" fontId="8" fillId="21" borderId="168" applyNumberFormat="0" applyFont="0" applyAlignment="0" applyProtection="0"/>
    <xf numFmtId="0" fontId="9" fillId="7" borderId="167" applyNumberFormat="0" applyAlignment="0" applyProtection="0"/>
    <xf numFmtId="0" fontId="6" fillId="20" borderId="171" applyNumberFormat="0" applyAlignment="0" applyProtection="0"/>
    <xf numFmtId="0" fontId="13" fillId="20" borderId="169" applyNumberFormat="0" applyAlignment="0" applyProtection="0"/>
    <xf numFmtId="0" fontId="13" fillId="20" borderId="169" applyNumberFormat="0" applyAlignment="0" applyProtection="0"/>
    <xf numFmtId="0" fontId="19" fillId="0" borderId="170" applyNumberFormat="0" applyFill="0" applyAlignment="0" applyProtection="0"/>
    <xf numFmtId="0" fontId="8" fillId="21" borderId="172" applyNumberFormat="0" applyFont="0" applyAlignment="0" applyProtection="0"/>
    <xf numFmtId="0" fontId="19" fillId="0" borderId="174" applyNumberFormat="0" applyFill="0" applyAlignment="0" applyProtection="0"/>
    <xf numFmtId="0" fontId="19" fillId="0" borderId="174" applyNumberFormat="0" applyFill="0" applyAlignment="0" applyProtection="0"/>
    <xf numFmtId="0" fontId="8" fillId="21" borderId="172" applyNumberFormat="0" applyFont="0" applyAlignment="0" applyProtection="0"/>
    <xf numFmtId="0" fontId="9" fillId="7" borderId="171" applyNumberFormat="0" applyAlignment="0" applyProtection="0"/>
    <xf numFmtId="0" fontId="6" fillId="20" borderId="171" applyNumberFormat="0" applyAlignment="0" applyProtection="0"/>
    <xf numFmtId="0" fontId="9" fillId="7" borderId="171" applyNumberFormat="0" applyAlignment="0" applyProtection="0"/>
    <xf numFmtId="0" fontId="13" fillId="20" borderId="173" applyNumberFormat="0" applyAlignment="0" applyProtection="0"/>
    <xf numFmtId="0" fontId="8" fillId="21" borderId="172" applyNumberFormat="0" applyFont="0" applyAlignment="0" applyProtection="0"/>
    <xf numFmtId="0" fontId="19" fillId="0" borderId="174" applyNumberFormat="0" applyFill="0" applyAlignment="0" applyProtection="0"/>
    <xf numFmtId="0" fontId="8" fillId="21" borderId="172" applyNumberFormat="0" applyFont="0" applyAlignment="0" applyProtection="0"/>
    <xf numFmtId="0" fontId="19" fillId="0" borderId="174" applyNumberFormat="0" applyFill="0" applyAlignment="0" applyProtection="0"/>
    <xf numFmtId="0" fontId="6" fillId="20" borderId="171" applyNumberFormat="0" applyAlignment="0" applyProtection="0"/>
    <xf numFmtId="0" fontId="19" fillId="0" borderId="174" applyNumberFormat="0" applyFill="0" applyAlignment="0" applyProtection="0"/>
    <xf numFmtId="0" fontId="13" fillId="20" borderId="173" applyNumberFormat="0" applyAlignment="0" applyProtection="0"/>
    <xf numFmtId="0" fontId="13" fillId="20" borderId="173" applyNumberFormat="0" applyAlignment="0" applyProtection="0"/>
    <xf numFmtId="0" fontId="9" fillId="7" borderId="171" applyNumberFormat="0" applyAlignment="0" applyProtection="0"/>
    <xf numFmtId="0" fontId="9" fillId="7" borderId="171" applyNumberFormat="0" applyAlignment="0" applyProtection="0"/>
    <xf numFmtId="0" fontId="6" fillId="20" borderId="171" applyNumberFormat="0" applyAlignment="0" applyProtection="0"/>
    <xf numFmtId="0" fontId="13" fillId="20" borderId="173" applyNumberFormat="0" applyAlignment="0" applyProtection="0"/>
    <xf numFmtId="0" fontId="9" fillId="7" borderId="171" applyNumberFormat="0" applyAlignment="0" applyProtection="0"/>
    <xf numFmtId="0" fontId="8" fillId="21" borderId="172" applyNumberFormat="0" applyFont="0" applyAlignment="0" applyProtection="0"/>
    <xf numFmtId="0" fontId="9" fillId="7" borderId="171" applyNumberFormat="0" applyAlignment="0" applyProtection="0"/>
    <xf numFmtId="0" fontId="13" fillId="20" borderId="173" applyNumberFormat="0" applyAlignment="0" applyProtection="0"/>
    <xf numFmtId="0" fontId="6" fillId="20" borderId="171" applyNumberFormat="0" applyAlignment="0" applyProtection="0"/>
    <xf numFmtId="0" fontId="9" fillId="7" borderId="171" applyNumberFormat="0" applyAlignment="0" applyProtection="0"/>
    <xf numFmtId="0" fontId="6" fillId="20" borderId="171" applyNumberFormat="0" applyAlignment="0" applyProtection="0"/>
    <xf numFmtId="0" fontId="13" fillId="20" borderId="173" applyNumberFormat="0" applyAlignment="0" applyProtection="0"/>
    <xf numFmtId="0" fontId="13" fillId="20" borderId="173" applyNumberFormat="0" applyAlignment="0" applyProtection="0"/>
    <xf numFmtId="0" fontId="6" fillId="20" borderId="171" applyNumberFormat="0" applyAlignment="0" applyProtection="0"/>
    <xf numFmtId="0" fontId="8" fillId="21" borderId="172" applyNumberFormat="0" applyFont="0" applyAlignment="0" applyProtection="0"/>
    <xf numFmtId="0" fontId="13" fillId="20" borderId="185" applyNumberFormat="0" applyAlignment="0" applyProtection="0"/>
    <xf numFmtId="0" fontId="19" fillId="0" borderId="174" applyNumberFormat="0" applyFill="0" applyAlignment="0" applyProtection="0"/>
    <xf numFmtId="0" fontId="19" fillId="0" borderId="174" applyNumberFormat="0" applyFill="0" applyAlignment="0" applyProtection="0"/>
    <xf numFmtId="0" fontId="9" fillId="7" borderId="171" applyNumberFormat="0" applyAlignment="0" applyProtection="0"/>
    <xf numFmtId="0" fontId="19" fillId="0" borderId="174" applyNumberFormat="0" applyFill="0" applyAlignment="0" applyProtection="0"/>
    <xf numFmtId="0" fontId="8" fillId="21" borderId="180" applyNumberFormat="0" applyFont="0" applyAlignment="0" applyProtection="0"/>
    <xf numFmtId="0" fontId="19" fillId="0" borderId="174" applyNumberFormat="0" applyFill="0" applyAlignment="0" applyProtection="0"/>
    <xf numFmtId="0" fontId="8" fillId="21" borderId="172" applyNumberFormat="0" applyFont="0" applyAlignment="0" applyProtection="0"/>
    <xf numFmtId="0" fontId="13" fillId="20" borderId="173" applyNumberFormat="0" applyAlignment="0" applyProtection="0"/>
    <xf numFmtId="0" fontId="19" fillId="0" borderId="174" applyNumberFormat="0" applyFill="0" applyAlignment="0" applyProtection="0"/>
    <xf numFmtId="0" fontId="9" fillId="7" borderId="175" applyNumberFormat="0" applyAlignment="0" applyProtection="0"/>
    <xf numFmtId="0" fontId="9" fillId="7" borderId="179" applyNumberFormat="0" applyAlignment="0" applyProtection="0"/>
    <xf numFmtId="0" fontId="9" fillId="7" borderId="171" applyNumberFormat="0" applyAlignment="0" applyProtection="0"/>
    <xf numFmtId="0" fontId="6" fillId="20" borderId="171" applyNumberFormat="0" applyAlignment="0" applyProtection="0"/>
    <xf numFmtId="0" fontId="8" fillId="21" borderId="172" applyNumberFormat="0" applyFont="0" applyAlignment="0" applyProtection="0"/>
    <xf numFmtId="0" fontId="8" fillId="21" borderId="172" applyNumberFormat="0" applyFont="0" applyAlignment="0" applyProtection="0"/>
    <xf numFmtId="0" fontId="8" fillId="21" borderId="188" applyNumberFormat="0" applyFont="0" applyAlignment="0" applyProtection="0"/>
    <xf numFmtId="0" fontId="6" fillId="20" borderId="171" applyNumberFormat="0" applyAlignment="0" applyProtection="0"/>
    <xf numFmtId="0" fontId="8" fillId="21" borderId="172" applyNumberFormat="0" applyFont="0" applyAlignment="0" applyProtection="0"/>
    <xf numFmtId="0" fontId="13" fillId="20" borderId="189" applyNumberFormat="0" applyAlignment="0" applyProtection="0"/>
    <xf numFmtId="0" fontId="13" fillId="20" borderId="173" applyNumberFormat="0" applyAlignment="0" applyProtection="0"/>
    <xf numFmtId="0" fontId="9" fillId="7" borderId="183" applyNumberFormat="0" applyAlignment="0" applyProtection="0"/>
    <xf numFmtId="0" fontId="6" fillId="20" borderId="171" applyNumberFormat="0" applyAlignment="0" applyProtection="0"/>
    <xf numFmtId="0" fontId="13" fillId="20" borderId="173" applyNumberFormat="0" applyAlignment="0" applyProtection="0"/>
    <xf numFmtId="0" fontId="13" fillId="20" borderId="173" applyNumberFormat="0" applyAlignment="0" applyProtection="0"/>
    <xf numFmtId="0" fontId="8" fillId="21" borderId="172" applyNumberFormat="0" applyFont="0" applyAlignment="0" applyProtection="0"/>
    <xf numFmtId="0" fontId="13" fillId="20" borderId="173" applyNumberFormat="0" applyAlignment="0" applyProtection="0"/>
    <xf numFmtId="0" fontId="13" fillId="20" borderId="173" applyNumberFormat="0" applyAlignment="0" applyProtection="0"/>
    <xf numFmtId="0" fontId="19" fillId="0" borderId="174" applyNumberFormat="0" applyFill="0" applyAlignment="0" applyProtection="0"/>
    <xf numFmtId="0" fontId="6" fillId="20" borderId="171" applyNumberFormat="0" applyAlignment="0" applyProtection="0"/>
    <xf numFmtId="0" fontId="8" fillId="21" borderId="172" applyNumberFormat="0" applyFont="0" applyAlignment="0" applyProtection="0"/>
    <xf numFmtId="0" fontId="9" fillId="7" borderId="171" applyNumberFormat="0" applyAlignment="0" applyProtection="0"/>
    <xf numFmtId="0" fontId="8" fillId="21" borderId="172" applyNumberFormat="0" applyFont="0" applyAlignment="0" applyProtection="0"/>
    <xf numFmtId="0" fontId="6" fillId="20" borderId="171" applyNumberFormat="0" applyAlignment="0" applyProtection="0"/>
    <xf numFmtId="0" fontId="8" fillId="21" borderId="172" applyNumberFormat="0" applyFont="0" applyAlignment="0" applyProtection="0"/>
    <xf numFmtId="0" fontId="19" fillId="0" borderId="174" applyNumberFormat="0" applyFill="0" applyAlignment="0" applyProtection="0"/>
    <xf numFmtId="0" fontId="13" fillId="20" borderId="173" applyNumberFormat="0" applyAlignment="0" applyProtection="0"/>
    <xf numFmtId="0" fontId="19" fillId="0" borderId="174" applyNumberFormat="0" applyFill="0" applyAlignment="0" applyProtection="0"/>
    <xf numFmtId="0" fontId="9" fillId="7" borderId="171" applyNumberFormat="0" applyAlignment="0" applyProtection="0"/>
    <xf numFmtId="0" fontId="8" fillId="21" borderId="172" applyNumberFormat="0" applyFont="0" applyAlignment="0" applyProtection="0"/>
    <xf numFmtId="0" fontId="8" fillId="21" borderId="172" applyNumberFormat="0" applyFont="0" applyAlignment="0" applyProtection="0"/>
    <xf numFmtId="0" fontId="9" fillId="7" borderId="171" applyNumberFormat="0" applyAlignment="0" applyProtection="0"/>
    <xf numFmtId="0" fontId="13" fillId="20" borderId="173" applyNumberFormat="0" applyAlignment="0" applyProtection="0"/>
    <xf numFmtId="0" fontId="19" fillId="0" borderId="174" applyNumberFormat="0" applyFill="0" applyAlignment="0" applyProtection="0"/>
    <xf numFmtId="0" fontId="9" fillId="7" borderId="171" applyNumberFormat="0" applyAlignment="0" applyProtection="0"/>
    <xf numFmtId="0" fontId="13" fillId="20" borderId="173" applyNumberFormat="0" applyAlignment="0" applyProtection="0"/>
    <xf numFmtId="0" fontId="8" fillId="21" borderId="172" applyNumberFormat="0" applyFont="0" applyAlignment="0" applyProtection="0"/>
    <xf numFmtId="0" fontId="8" fillId="21" borderId="184" applyNumberFormat="0" applyFont="0" applyAlignment="0" applyProtection="0"/>
    <xf numFmtId="0" fontId="19" fillId="0" borderId="174" applyNumberFormat="0" applyFill="0" applyAlignment="0" applyProtection="0"/>
    <xf numFmtId="0" fontId="13" fillId="20" borderId="181" applyNumberFormat="0" applyAlignment="0" applyProtection="0"/>
    <xf numFmtId="0" fontId="19" fillId="0" borderId="174" applyNumberFormat="0" applyFill="0" applyAlignment="0" applyProtection="0"/>
    <xf numFmtId="0" fontId="9" fillId="7" borderId="171" applyNumberFormat="0" applyAlignment="0" applyProtection="0"/>
    <xf numFmtId="0" fontId="9" fillId="7" borderId="171" applyNumberFormat="0" applyAlignment="0" applyProtection="0"/>
    <xf numFmtId="0" fontId="8" fillId="21" borderId="172" applyNumberFormat="0" applyFont="0" applyAlignment="0" applyProtection="0"/>
    <xf numFmtId="0" fontId="6" fillId="20" borderId="171" applyNumberFormat="0" applyAlignment="0" applyProtection="0"/>
    <xf numFmtId="0" fontId="13" fillId="20" borderId="173" applyNumberFormat="0" applyAlignment="0" applyProtection="0"/>
    <xf numFmtId="0" fontId="6" fillId="20" borderId="171" applyNumberFormat="0" applyAlignment="0" applyProtection="0"/>
    <xf numFmtId="0" fontId="13" fillId="20" borderId="173" applyNumberFormat="0" applyAlignment="0" applyProtection="0"/>
    <xf numFmtId="0" fontId="19" fillId="0" borderId="174" applyNumberFormat="0" applyFill="0" applyAlignment="0" applyProtection="0"/>
    <xf numFmtId="0" fontId="9" fillId="7" borderId="171" applyNumberFormat="0" applyAlignment="0" applyProtection="0"/>
    <xf numFmtId="0" fontId="13" fillId="20" borderId="173" applyNumberFormat="0" applyAlignment="0" applyProtection="0"/>
    <xf numFmtId="0" fontId="8" fillId="21" borderId="172" applyNumberFormat="0" applyFont="0" applyAlignment="0" applyProtection="0"/>
    <xf numFmtId="0" fontId="8" fillId="21" borderId="172" applyNumberFormat="0" applyFont="0" applyAlignment="0" applyProtection="0"/>
    <xf numFmtId="0" fontId="8" fillId="21" borderId="172" applyNumberFormat="0" applyFont="0" applyAlignment="0" applyProtection="0"/>
    <xf numFmtId="0" fontId="8" fillId="21" borderId="172" applyNumberFormat="0" applyFont="0" applyAlignment="0" applyProtection="0"/>
    <xf numFmtId="0" fontId="8" fillId="21" borderId="172" applyNumberFormat="0" applyFont="0" applyAlignment="0" applyProtection="0"/>
    <xf numFmtId="0" fontId="8" fillId="21" borderId="172" applyNumberFormat="0" applyFont="0" applyAlignment="0" applyProtection="0"/>
    <xf numFmtId="0" fontId="6" fillId="20" borderId="171" applyNumberFormat="0" applyAlignment="0" applyProtection="0"/>
    <xf numFmtId="0" fontId="6" fillId="20" borderId="171" applyNumberFormat="0" applyAlignment="0" applyProtection="0"/>
    <xf numFmtId="0" fontId="6" fillId="20" borderId="171" applyNumberFormat="0" applyAlignment="0" applyProtection="0"/>
    <xf numFmtId="0" fontId="19" fillId="0" borderId="174" applyNumberFormat="0" applyFill="0" applyAlignment="0" applyProtection="0"/>
    <xf numFmtId="0" fontId="6" fillId="20" borderId="179" applyNumberFormat="0" applyAlignment="0" applyProtection="0"/>
    <xf numFmtId="0" fontId="8" fillId="21" borderId="172" applyNumberFormat="0" applyFont="0" applyAlignment="0" applyProtection="0"/>
    <xf numFmtId="0" fontId="13" fillId="20" borderId="173" applyNumberFormat="0" applyAlignment="0" applyProtection="0"/>
    <xf numFmtId="0" fontId="9" fillId="7" borderId="171" applyNumberFormat="0" applyAlignment="0" applyProtection="0"/>
    <xf numFmtId="0" fontId="13" fillId="20" borderId="173" applyNumberFormat="0" applyAlignment="0" applyProtection="0"/>
    <xf numFmtId="0" fontId="13" fillId="20" borderId="173" applyNumberFormat="0" applyAlignment="0" applyProtection="0"/>
    <xf numFmtId="0" fontId="6" fillId="20" borderId="171" applyNumberFormat="0" applyAlignment="0" applyProtection="0"/>
    <xf numFmtId="0" fontId="19" fillId="0" borderId="174" applyNumberFormat="0" applyFill="0" applyAlignment="0" applyProtection="0"/>
    <xf numFmtId="0" fontId="19" fillId="0" borderId="174" applyNumberFormat="0" applyFill="0" applyAlignment="0" applyProtection="0"/>
    <xf numFmtId="0" fontId="13" fillId="20" borderId="173" applyNumberFormat="0" applyAlignment="0" applyProtection="0"/>
    <xf numFmtId="0" fontId="9" fillId="7" borderId="187" applyNumberFormat="0" applyAlignment="0" applyProtection="0"/>
    <xf numFmtId="0" fontId="13" fillId="20" borderId="173" applyNumberFormat="0" applyAlignment="0" applyProtection="0"/>
    <xf numFmtId="0" fontId="13" fillId="20" borderId="173" applyNumberFormat="0" applyAlignment="0" applyProtection="0"/>
    <xf numFmtId="0" fontId="13" fillId="20" borderId="173" applyNumberFormat="0" applyAlignment="0" applyProtection="0"/>
    <xf numFmtId="0" fontId="19" fillId="0" borderId="174" applyNumberFormat="0" applyFill="0" applyAlignment="0" applyProtection="0"/>
    <xf numFmtId="0" fontId="19" fillId="0" borderId="174" applyNumberFormat="0" applyFill="0" applyAlignment="0" applyProtection="0"/>
    <xf numFmtId="0" fontId="6" fillId="20" borderId="171" applyNumberFormat="0" applyAlignment="0" applyProtection="0"/>
    <xf numFmtId="0" fontId="13" fillId="20" borderId="173" applyNumberFormat="0" applyAlignment="0" applyProtection="0"/>
    <xf numFmtId="0" fontId="6" fillId="20" borderId="171" applyNumberFormat="0" applyAlignment="0" applyProtection="0"/>
    <xf numFmtId="0" fontId="13" fillId="20" borderId="173" applyNumberFormat="0" applyAlignment="0" applyProtection="0"/>
    <xf numFmtId="0" fontId="6" fillId="20" borderId="171" applyNumberFormat="0" applyAlignment="0" applyProtection="0"/>
    <xf numFmtId="0" fontId="13" fillId="20" borderId="173" applyNumberFormat="0" applyAlignment="0" applyProtection="0"/>
    <xf numFmtId="0" fontId="9" fillId="7" borderId="171" applyNumberFormat="0" applyAlignment="0" applyProtection="0"/>
    <xf numFmtId="0" fontId="13" fillId="20" borderId="173" applyNumberFormat="0" applyAlignment="0" applyProtection="0"/>
    <xf numFmtId="0" fontId="8" fillId="21" borderId="172" applyNumberFormat="0" applyFont="0" applyAlignment="0" applyProtection="0"/>
    <xf numFmtId="0" fontId="8" fillId="21" borderId="172" applyNumberFormat="0" applyFont="0" applyAlignment="0" applyProtection="0"/>
    <xf numFmtId="0" fontId="19" fillId="0" borderId="174" applyNumberFormat="0" applyFill="0" applyAlignment="0" applyProtection="0"/>
    <xf numFmtId="0" fontId="9" fillId="7" borderId="171" applyNumberFormat="0" applyAlignment="0" applyProtection="0"/>
    <xf numFmtId="0" fontId="8" fillId="21" borderId="172" applyNumberFormat="0" applyFont="0" applyAlignment="0" applyProtection="0"/>
    <xf numFmtId="0" fontId="9" fillId="7" borderId="171" applyNumberFormat="0" applyAlignment="0" applyProtection="0"/>
    <xf numFmtId="0" fontId="8" fillId="21" borderId="172" applyNumberFormat="0" applyFont="0" applyAlignment="0" applyProtection="0"/>
    <xf numFmtId="0" fontId="9" fillId="7" borderId="171" applyNumberFormat="0" applyAlignment="0" applyProtection="0"/>
    <xf numFmtId="0" fontId="6" fillId="20" borderId="175" applyNumberFormat="0" applyAlignment="0" applyProtection="0"/>
    <xf numFmtId="0" fontId="19" fillId="0" borderId="174" applyNumberFormat="0" applyFill="0" applyAlignment="0" applyProtection="0"/>
    <xf numFmtId="0" fontId="8" fillId="21" borderId="172" applyNumberFormat="0" applyFont="0" applyAlignment="0" applyProtection="0"/>
    <xf numFmtId="0" fontId="19" fillId="0" borderId="174" applyNumberFormat="0" applyFill="0" applyAlignment="0" applyProtection="0"/>
    <xf numFmtId="0" fontId="9" fillId="7" borderId="171" applyNumberFormat="0" applyAlignment="0" applyProtection="0"/>
    <xf numFmtId="0" fontId="9" fillId="7" borderId="171" applyNumberFormat="0" applyAlignment="0" applyProtection="0"/>
    <xf numFmtId="0" fontId="19" fillId="0" borderId="174" applyNumberFormat="0" applyFill="0" applyAlignment="0" applyProtection="0"/>
    <xf numFmtId="0" fontId="6" fillId="20" borderId="171" applyNumberFormat="0" applyAlignment="0" applyProtection="0"/>
    <xf numFmtId="0" fontId="8" fillId="21" borderId="176" applyNumberFormat="0" applyFont="0" applyAlignment="0" applyProtection="0"/>
    <xf numFmtId="0" fontId="13" fillId="20" borderId="173" applyNumberFormat="0" applyAlignment="0" applyProtection="0"/>
    <xf numFmtId="0" fontId="13" fillId="20" borderId="173" applyNumberFormat="0" applyAlignment="0" applyProtection="0"/>
    <xf numFmtId="0" fontId="8" fillId="21" borderId="172" applyNumberFormat="0" applyFont="0" applyAlignment="0" applyProtection="0"/>
    <xf numFmtId="0" fontId="9" fillId="7" borderId="171" applyNumberFormat="0" applyAlignment="0" applyProtection="0"/>
    <xf numFmtId="0" fontId="13" fillId="20" borderId="173" applyNumberFormat="0" applyAlignment="0" applyProtection="0"/>
    <xf numFmtId="0" fontId="13" fillId="20" borderId="173" applyNumberFormat="0" applyAlignment="0" applyProtection="0"/>
    <xf numFmtId="0" fontId="8" fillId="21" borderId="172" applyNumberFormat="0" applyFont="0" applyAlignment="0" applyProtection="0"/>
    <xf numFmtId="0" fontId="9" fillId="7" borderId="171" applyNumberFormat="0" applyAlignment="0" applyProtection="0"/>
    <xf numFmtId="0" fontId="9" fillId="7" borderId="171" applyNumberFormat="0" applyAlignment="0" applyProtection="0"/>
    <xf numFmtId="0" fontId="8" fillId="21" borderId="172" applyNumberFormat="0" applyFont="0" applyAlignment="0" applyProtection="0"/>
    <xf numFmtId="0" fontId="6" fillId="20" borderId="171" applyNumberFormat="0" applyAlignment="0" applyProtection="0"/>
    <xf numFmtId="0" fontId="6" fillId="20" borderId="171" applyNumberFormat="0" applyAlignment="0" applyProtection="0"/>
    <xf numFmtId="0" fontId="6" fillId="20" borderId="171" applyNumberFormat="0" applyAlignment="0" applyProtection="0"/>
    <xf numFmtId="0" fontId="19" fillId="0" borderId="174" applyNumberFormat="0" applyFill="0" applyAlignment="0" applyProtection="0"/>
    <xf numFmtId="0" fontId="8" fillId="21" borderId="172" applyNumberFormat="0" applyFont="0" applyAlignment="0" applyProtection="0"/>
    <xf numFmtId="0" fontId="19" fillId="0" borderId="174" applyNumberFormat="0" applyFill="0" applyAlignment="0" applyProtection="0"/>
    <xf numFmtId="0" fontId="9" fillId="7" borderId="171" applyNumberFormat="0" applyAlignment="0" applyProtection="0"/>
    <xf numFmtId="0" fontId="13" fillId="20" borderId="177" applyNumberFormat="0" applyAlignment="0" applyProtection="0"/>
    <xf numFmtId="0" fontId="19" fillId="0" borderId="174" applyNumberFormat="0" applyFill="0" applyAlignment="0" applyProtection="0"/>
    <xf numFmtId="0" fontId="6" fillId="20" borderId="171" applyNumberFormat="0" applyAlignment="0" applyProtection="0"/>
    <xf numFmtId="0" fontId="9" fillId="7" borderId="171" applyNumberFormat="0" applyAlignment="0" applyProtection="0"/>
    <xf numFmtId="0" fontId="6" fillId="20" borderId="171" applyNumberFormat="0" applyAlignment="0" applyProtection="0"/>
    <xf numFmtId="0" fontId="9" fillId="7" borderId="171" applyNumberFormat="0" applyAlignment="0" applyProtection="0"/>
    <xf numFmtId="0" fontId="9" fillId="7" borderId="171" applyNumberFormat="0" applyAlignment="0" applyProtection="0"/>
    <xf numFmtId="0" fontId="13" fillId="20" borderId="173" applyNumberFormat="0" applyAlignment="0" applyProtection="0"/>
    <xf numFmtId="0" fontId="19" fillId="0" borderId="174" applyNumberFormat="0" applyFill="0" applyAlignment="0" applyProtection="0"/>
    <xf numFmtId="0" fontId="9" fillId="7" borderId="171" applyNumberFormat="0" applyAlignment="0" applyProtection="0"/>
    <xf numFmtId="0" fontId="13" fillId="20" borderId="173" applyNumberFormat="0" applyAlignment="0" applyProtection="0"/>
    <xf numFmtId="0" fontId="6" fillId="20" borderId="171" applyNumberFormat="0" applyAlignment="0" applyProtection="0"/>
    <xf numFmtId="0" fontId="6" fillId="20" borderId="171" applyNumberFormat="0" applyAlignment="0" applyProtection="0"/>
    <xf numFmtId="0" fontId="6" fillId="20" borderId="171" applyNumberFormat="0" applyAlignment="0" applyProtection="0"/>
    <xf numFmtId="0" fontId="13" fillId="20" borderId="173" applyNumberFormat="0" applyAlignment="0" applyProtection="0"/>
    <xf numFmtId="0" fontId="9" fillId="7" borderId="171" applyNumberFormat="0" applyAlignment="0" applyProtection="0"/>
    <xf numFmtId="0" fontId="13" fillId="20" borderId="173" applyNumberFormat="0" applyAlignment="0" applyProtection="0"/>
    <xf numFmtId="0" fontId="8" fillId="21" borderId="172" applyNumberFormat="0" applyFont="0" applyAlignment="0" applyProtection="0"/>
    <xf numFmtId="0" fontId="6" fillId="20" borderId="171" applyNumberFormat="0" applyAlignment="0" applyProtection="0"/>
    <xf numFmtId="0" fontId="6" fillId="20" borderId="171" applyNumberFormat="0" applyAlignment="0" applyProtection="0"/>
    <xf numFmtId="0" fontId="8" fillId="21" borderId="172" applyNumberFormat="0" applyFont="0" applyAlignment="0" applyProtection="0"/>
    <xf numFmtId="0" fontId="9" fillId="7" borderId="171" applyNumberFormat="0" applyAlignment="0" applyProtection="0"/>
    <xf numFmtId="0" fontId="13" fillId="20" borderId="173" applyNumberFormat="0" applyAlignment="0" applyProtection="0"/>
    <xf numFmtId="0" fontId="13" fillId="20" borderId="173" applyNumberFormat="0" applyAlignment="0" applyProtection="0"/>
    <xf numFmtId="0" fontId="9" fillId="7" borderId="171" applyNumberFormat="0" applyAlignment="0" applyProtection="0"/>
    <xf numFmtId="0" fontId="6" fillId="20" borderId="171" applyNumberFormat="0" applyAlignment="0" applyProtection="0"/>
    <xf numFmtId="0" fontId="19" fillId="0" borderId="174" applyNumberFormat="0" applyFill="0" applyAlignment="0" applyProtection="0"/>
    <xf numFmtId="0" fontId="6" fillId="20" borderId="171" applyNumberFormat="0" applyAlignment="0" applyProtection="0"/>
    <xf numFmtId="0" fontId="19" fillId="0" borderId="174" applyNumberFormat="0" applyFill="0" applyAlignment="0" applyProtection="0"/>
    <xf numFmtId="0" fontId="8" fillId="21" borderId="172" applyNumberFormat="0" applyFont="0" applyAlignment="0" applyProtection="0"/>
    <xf numFmtId="0" fontId="8" fillId="21" borderId="172" applyNumberFormat="0" applyFont="0" applyAlignment="0" applyProtection="0"/>
    <xf numFmtId="0" fontId="6" fillId="20" borderId="171" applyNumberFormat="0" applyAlignment="0" applyProtection="0"/>
    <xf numFmtId="0" fontId="8" fillId="21" borderId="172" applyNumberFormat="0" applyFont="0" applyAlignment="0" applyProtection="0"/>
    <xf numFmtId="0" fontId="9" fillId="7" borderId="171" applyNumberFormat="0" applyAlignment="0" applyProtection="0"/>
    <xf numFmtId="0" fontId="19" fillId="0" borderId="174" applyNumberFormat="0" applyFill="0" applyAlignment="0" applyProtection="0"/>
    <xf numFmtId="0" fontId="9" fillId="7" borderId="171" applyNumberFormat="0" applyAlignment="0" applyProtection="0"/>
    <xf numFmtId="0" fontId="19" fillId="0" borderId="174" applyNumberFormat="0" applyFill="0" applyAlignment="0" applyProtection="0"/>
    <xf numFmtId="0" fontId="6" fillId="20" borderId="171" applyNumberFormat="0" applyAlignment="0" applyProtection="0"/>
    <xf numFmtId="0" fontId="9" fillId="7" borderId="171" applyNumberFormat="0" applyAlignment="0" applyProtection="0"/>
    <xf numFmtId="0" fontId="6" fillId="20" borderId="171" applyNumberFormat="0" applyAlignment="0" applyProtection="0"/>
    <xf numFmtId="0" fontId="6" fillId="20" borderId="171" applyNumberFormat="0" applyAlignment="0" applyProtection="0"/>
    <xf numFmtId="0" fontId="6" fillId="20" borderId="171" applyNumberFormat="0" applyAlignment="0" applyProtection="0"/>
    <xf numFmtId="0" fontId="9" fillId="7" borderId="171" applyNumberFormat="0" applyAlignment="0" applyProtection="0"/>
    <xf numFmtId="0" fontId="6" fillId="20" borderId="171" applyNumberFormat="0" applyAlignment="0" applyProtection="0"/>
    <xf numFmtId="0" fontId="6" fillId="20" borderId="171" applyNumberFormat="0" applyAlignment="0" applyProtection="0"/>
    <xf numFmtId="0" fontId="8" fillId="21" borderId="172" applyNumberFormat="0" applyFont="0" applyAlignment="0" applyProtection="0"/>
    <xf numFmtId="0" fontId="19" fillId="0" borderId="174" applyNumberFormat="0" applyFill="0" applyAlignment="0" applyProtection="0"/>
    <xf numFmtId="0" fontId="8" fillId="21" borderId="172" applyNumberFormat="0" applyFont="0" applyAlignment="0" applyProtection="0"/>
    <xf numFmtId="0" fontId="13" fillId="20" borderId="173" applyNumberFormat="0" applyAlignment="0" applyProtection="0"/>
    <xf numFmtId="0" fontId="19" fillId="0" borderId="174" applyNumberFormat="0" applyFill="0" applyAlignment="0" applyProtection="0"/>
    <xf numFmtId="0" fontId="9" fillId="7" borderId="171" applyNumberFormat="0" applyAlignment="0" applyProtection="0"/>
    <xf numFmtId="0" fontId="9" fillId="7" borderId="171" applyNumberFormat="0" applyAlignment="0" applyProtection="0"/>
    <xf numFmtId="0" fontId="19" fillId="0" borderId="174" applyNumberFormat="0" applyFill="0" applyAlignment="0" applyProtection="0"/>
    <xf numFmtId="0" fontId="13" fillId="20" borderId="173" applyNumberFormat="0" applyAlignment="0" applyProtection="0"/>
    <xf numFmtId="0" fontId="8" fillId="21" borderId="172" applyNumberFormat="0" applyFont="0" applyAlignment="0" applyProtection="0"/>
    <xf numFmtId="0" fontId="19" fillId="0" borderId="178" applyNumberFormat="0" applyFill="0" applyAlignment="0" applyProtection="0"/>
    <xf numFmtId="0" fontId="6" fillId="20" borderId="183"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9" fillId="7" borderId="175" applyNumberFormat="0" applyAlignment="0" applyProtection="0"/>
    <xf numFmtId="0" fontId="8" fillId="21" borderId="176" applyNumberFormat="0" applyFont="0" applyAlignment="0" applyProtection="0"/>
    <xf numFmtId="0" fontId="6" fillId="20" borderId="175" applyNumberFormat="0" applyAlignment="0" applyProtection="0"/>
    <xf numFmtId="0" fontId="9" fillId="7" borderId="175" applyNumberFormat="0" applyAlignment="0" applyProtection="0"/>
    <xf numFmtId="0" fontId="8" fillId="21" borderId="176" applyNumberFormat="0" applyFont="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3" fillId="20" borderId="177" applyNumberFormat="0" applyAlignment="0" applyProtection="0"/>
    <xf numFmtId="0" fontId="13" fillId="20" borderId="177" applyNumberFormat="0" applyAlignment="0" applyProtection="0"/>
    <xf numFmtId="0" fontId="13" fillId="20" borderId="177" applyNumberFormat="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6" fillId="20" borderId="175" applyNumberFormat="0" applyAlignment="0" applyProtection="0"/>
    <xf numFmtId="0" fontId="13" fillId="20" borderId="177" applyNumberFormat="0" applyAlignment="0" applyProtection="0"/>
    <xf numFmtId="0" fontId="8" fillId="21" borderId="176" applyNumberFormat="0" applyFont="0" applyAlignment="0" applyProtection="0"/>
    <xf numFmtId="0" fontId="9" fillId="7" borderId="175" applyNumberFormat="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9" fillId="7" borderId="175" applyNumberFormat="0" applyAlignment="0" applyProtection="0"/>
    <xf numFmtId="0" fontId="13" fillId="20" borderId="177"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9" fillId="7" borderId="175" applyNumberFormat="0" applyAlignment="0" applyProtection="0"/>
    <xf numFmtId="0" fontId="8" fillId="21" borderId="176" applyNumberFormat="0" applyFont="0" applyAlignment="0" applyProtection="0"/>
    <xf numFmtId="0" fontId="8" fillId="21" borderId="176" applyNumberFormat="0" applyFont="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9" fillId="7" borderId="175" applyNumberFormat="0" applyAlignment="0" applyProtection="0"/>
    <xf numFmtId="0" fontId="8" fillId="21" borderId="176" applyNumberFormat="0" applyFont="0" applyAlignment="0" applyProtection="0"/>
    <xf numFmtId="0" fontId="13" fillId="20" borderId="177" applyNumberForma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3" fillId="20" borderId="177" applyNumberFormat="0" applyAlignment="0" applyProtection="0"/>
    <xf numFmtId="0" fontId="19" fillId="0" borderId="178" applyNumberFormat="0" applyFill="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9" fillId="7" borderId="175" applyNumberFormat="0" applyAlignment="0" applyProtection="0"/>
    <xf numFmtId="0" fontId="8" fillId="21" borderId="176" applyNumberFormat="0" applyFont="0" applyAlignment="0" applyProtection="0"/>
    <xf numFmtId="0" fontId="6" fillId="20" borderId="175" applyNumberFormat="0" applyAlignment="0" applyProtection="0"/>
    <xf numFmtId="0" fontId="9" fillId="7" borderId="175" applyNumberFormat="0" applyAlignment="0" applyProtection="0"/>
    <xf numFmtId="0" fontId="8" fillId="21" borderId="176" applyNumberFormat="0" applyFont="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3" fillId="20" borderId="177" applyNumberFormat="0" applyAlignment="0" applyProtection="0"/>
    <xf numFmtId="0" fontId="13" fillId="20" borderId="177" applyNumberFormat="0" applyAlignment="0" applyProtection="0"/>
    <xf numFmtId="0" fontId="13" fillId="20" borderId="177" applyNumberFormat="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6" fillId="20" borderId="175" applyNumberFormat="0" applyAlignment="0" applyProtection="0"/>
    <xf numFmtId="0" fontId="13" fillId="20" borderId="177" applyNumberFormat="0" applyAlignment="0" applyProtection="0"/>
    <xf numFmtId="0" fontId="8" fillId="21" borderId="176" applyNumberFormat="0" applyFont="0" applyAlignment="0" applyProtection="0"/>
    <xf numFmtId="0" fontId="9" fillId="7" borderId="175" applyNumberFormat="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9" fillId="7" borderId="175" applyNumberFormat="0" applyAlignment="0" applyProtection="0"/>
    <xf numFmtId="0" fontId="13" fillId="20" borderId="177"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9" fillId="7" borderId="175" applyNumberFormat="0" applyAlignment="0" applyProtection="0"/>
    <xf numFmtId="0" fontId="8" fillId="21" borderId="176" applyNumberFormat="0" applyFont="0" applyAlignment="0" applyProtection="0"/>
    <xf numFmtId="0" fontId="8" fillId="21" borderId="176" applyNumberFormat="0" applyFont="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9" fillId="7" borderId="175" applyNumberFormat="0" applyAlignment="0" applyProtection="0"/>
    <xf numFmtId="0" fontId="8" fillId="21" borderId="176" applyNumberFormat="0" applyFont="0" applyAlignment="0" applyProtection="0"/>
    <xf numFmtId="0" fontId="13" fillId="20" borderId="177" applyNumberForma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3" fillId="20" borderId="177" applyNumberFormat="0" applyAlignment="0" applyProtection="0"/>
    <xf numFmtId="0" fontId="19" fillId="0" borderId="178" applyNumberFormat="0" applyFill="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78" applyNumberFormat="0" applyFill="0" applyAlignment="0" applyProtection="0"/>
    <xf numFmtId="0" fontId="6" fillId="20" borderId="175" applyNumberFormat="0" applyAlignment="0" applyProtection="0"/>
    <xf numFmtId="0" fontId="8" fillId="21" borderId="176" applyNumberFormat="0" applyFont="0" applyAlignment="0" applyProtection="0"/>
    <xf numFmtId="0" fontId="9" fillId="7" borderId="175" applyNumberFormat="0" applyAlignment="0" applyProtection="0"/>
    <xf numFmtId="0" fontId="13" fillId="20" borderId="177" applyNumberFormat="0" applyAlignment="0" applyProtection="0"/>
    <xf numFmtId="0" fontId="19" fillId="0" borderId="178" applyNumberFormat="0" applyFill="0" applyAlignment="0" applyProtection="0"/>
    <xf numFmtId="0" fontId="19" fillId="0" borderId="182" applyNumberFormat="0" applyFill="0" applyAlignment="0" applyProtection="0"/>
    <xf numFmtId="0" fontId="6" fillId="20" borderId="187"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9" fillId="7" borderId="179" applyNumberFormat="0" applyAlignment="0" applyProtection="0"/>
    <xf numFmtId="0" fontId="8" fillId="21" borderId="180" applyNumberFormat="0" applyFont="0" applyAlignment="0" applyProtection="0"/>
    <xf numFmtId="0" fontId="6" fillId="20" borderId="179" applyNumberFormat="0" applyAlignment="0" applyProtection="0"/>
    <xf numFmtId="0" fontId="9" fillId="7" borderId="179" applyNumberFormat="0" applyAlignment="0" applyProtection="0"/>
    <xf numFmtId="0" fontId="8" fillId="21" borderId="180" applyNumberFormat="0" applyFont="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3" fillId="20" borderId="181" applyNumberFormat="0" applyAlignment="0" applyProtection="0"/>
    <xf numFmtId="0" fontId="13" fillId="20" borderId="181" applyNumberFormat="0" applyAlignment="0" applyProtection="0"/>
    <xf numFmtId="0" fontId="13" fillId="20" borderId="181" applyNumberFormat="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6" fillId="20" borderId="179" applyNumberFormat="0" applyAlignment="0" applyProtection="0"/>
    <xf numFmtId="0" fontId="13" fillId="20" borderId="181" applyNumberFormat="0" applyAlignment="0" applyProtection="0"/>
    <xf numFmtId="0" fontId="8" fillId="21" borderId="180" applyNumberFormat="0" applyFont="0" applyAlignment="0" applyProtection="0"/>
    <xf numFmtId="0" fontId="9" fillId="7" borderId="179" applyNumberFormat="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9" fillId="7" borderId="179" applyNumberFormat="0" applyAlignment="0" applyProtection="0"/>
    <xf numFmtId="0" fontId="13" fillId="20" borderId="181"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9" fillId="7" borderId="179" applyNumberFormat="0" applyAlignment="0" applyProtection="0"/>
    <xf numFmtId="0" fontId="8" fillId="21" borderId="180" applyNumberFormat="0" applyFont="0" applyAlignment="0" applyProtection="0"/>
    <xf numFmtId="0" fontId="8" fillId="21" borderId="180" applyNumberFormat="0" applyFont="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9" fillId="7" borderId="179" applyNumberFormat="0" applyAlignment="0" applyProtection="0"/>
    <xf numFmtId="0" fontId="8" fillId="21" borderId="180" applyNumberFormat="0" applyFont="0" applyAlignment="0" applyProtection="0"/>
    <xf numFmtId="0" fontId="13" fillId="20" borderId="181" applyNumberForma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3" fillId="20" borderId="181" applyNumberFormat="0" applyAlignment="0" applyProtection="0"/>
    <xf numFmtId="0" fontId="19" fillId="0" borderId="182" applyNumberFormat="0" applyFill="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9" fillId="7" borderId="179" applyNumberFormat="0" applyAlignment="0" applyProtection="0"/>
    <xf numFmtId="0" fontId="8" fillId="21" borderId="180" applyNumberFormat="0" applyFont="0" applyAlignment="0" applyProtection="0"/>
    <xf numFmtId="0" fontId="6" fillId="20" borderId="179" applyNumberFormat="0" applyAlignment="0" applyProtection="0"/>
    <xf numFmtId="0" fontId="9" fillId="7" borderId="179" applyNumberFormat="0" applyAlignment="0" applyProtection="0"/>
    <xf numFmtId="0" fontId="8" fillId="21" borderId="180" applyNumberFormat="0" applyFont="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3" fillId="20" borderId="181" applyNumberFormat="0" applyAlignment="0" applyProtection="0"/>
    <xf numFmtId="0" fontId="13" fillId="20" borderId="181" applyNumberFormat="0" applyAlignment="0" applyProtection="0"/>
    <xf numFmtId="0" fontId="13" fillId="20" borderId="181" applyNumberFormat="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6" fillId="20" borderId="179" applyNumberFormat="0" applyAlignment="0" applyProtection="0"/>
    <xf numFmtId="0" fontId="13" fillId="20" borderId="181" applyNumberFormat="0" applyAlignment="0" applyProtection="0"/>
    <xf numFmtId="0" fontId="8" fillId="21" borderId="180" applyNumberFormat="0" applyFont="0" applyAlignment="0" applyProtection="0"/>
    <xf numFmtId="0" fontId="9" fillId="7" borderId="179" applyNumberFormat="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9" fillId="7" borderId="179" applyNumberFormat="0" applyAlignment="0" applyProtection="0"/>
    <xf numFmtId="0" fontId="13" fillId="20" borderId="181"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9" fillId="7" borderId="179" applyNumberFormat="0" applyAlignment="0" applyProtection="0"/>
    <xf numFmtId="0" fontId="8" fillId="21" borderId="180" applyNumberFormat="0" applyFont="0" applyAlignment="0" applyProtection="0"/>
    <xf numFmtId="0" fontId="8" fillId="21" borderId="180" applyNumberFormat="0" applyFont="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9" fillId="7" borderId="179" applyNumberFormat="0" applyAlignment="0" applyProtection="0"/>
    <xf numFmtId="0" fontId="8" fillId="21" borderId="180" applyNumberFormat="0" applyFont="0" applyAlignment="0" applyProtection="0"/>
    <xf numFmtId="0" fontId="13" fillId="20" borderId="181" applyNumberForma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3" fillId="20" borderId="181" applyNumberFormat="0" applyAlignment="0" applyProtection="0"/>
    <xf numFmtId="0" fontId="19" fillId="0" borderId="182" applyNumberFormat="0" applyFill="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2" applyNumberFormat="0" applyFill="0" applyAlignment="0" applyProtection="0"/>
    <xf numFmtId="0" fontId="6" fillId="20" borderId="179" applyNumberFormat="0" applyAlignment="0" applyProtection="0"/>
    <xf numFmtId="0" fontId="8" fillId="21" borderId="180" applyNumberFormat="0" applyFont="0" applyAlignment="0" applyProtection="0"/>
    <xf numFmtId="0" fontId="9" fillId="7" borderId="179" applyNumberFormat="0" applyAlignment="0" applyProtection="0"/>
    <xf numFmtId="0" fontId="13" fillId="20" borderId="181" applyNumberFormat="0" applyAlignment="0" applyProtection="0"/>
    <xf numFmtId="0" fontId="19" fillId="0" borderId="182"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9" fillId="7" borderId="183" applyNumberFormat="0" applyAlignment="0" applyProtection="0"/>
    <xf numFmtId="0" fontId="8" fillId="21" borderId="184" applyNumberFormat="0" applyFont="0" applyAlignment="0" applyProtection="0"/>
    <xf numFmtId="0" fontId="6" fillId="20" borderId="183" applyNumberFormat="0" applyAlignment="0" applyProtection="0"/>
    <xf numFmtId="0" fontId="9" fillId="7" borderId="183" applyNumberFormat="0" applyAlignment="0" applyProtection="0"/>
    <xf numFmtId="0" fontId="8" fillId="21" borderId="184" applyNumberFormat="0" applyFont="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3" fillId="20" borderId="185" applyNumberFormat="0" applyAlignment="0" applyProtection="0"/>
    <xf numFmtId="0" fontId="13" fillId="20" borderId="185" applyNumberFormat="0" applyAlignment="0" applyProtection="0"/>
    <xf numFmtId="0" fontId="13" fillId="20" borderId="185" applyNumberFormat="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6" fillId="20" borderId="183" applyNumberFormat="0" applyAlignment="0" applyProtection="0"/>
    <xf numFmtId="0" fontId="13" fillId="20" borderId="185" applyNumberFormat="0" applyAlignment="0" applyProtection="0"/>
    <xf numFmtId="0" fontId="8" fillId="21" borderId="184" applyNumberFormat="0" applyFont="0" applyAlignment="0" applyProtection="0"/>
    <xf numFmtId="0" fontId="9" fillId="7" borderId="183" applyNumberFormat="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9" fillId="7" borderId="183" applyNumberFormat="0" applyAlignment="0" applyProtection="0"/>
    <xf numFmtId="0" fontId="13" fillId="20" borderId="185"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9" fillId="7" borderId="183" applyNumberFormat="0" applyAlignment="0" applyProtection="0"/>
    <xf numFmtId="0" fontId="8" fillId="21" borderId="184" applyNumberFormat="0" applyFont="0" applyAlignment="0" applyProtection="0"/>
    <xf numFmtId="0" fontId="8" fillId="21" borderId="184" applyNumberFormat="0" applyFont="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9" fillId="7" borderId="183" applyNumberFormat="0" applyAlignment="0" applyProtection="0"/>
    <xf numFmtId="0" fontId="8" fillId="21" borderId="184" applyNumberFormat="0" applyFont="0" applyAlignment="0" applyProtection="0"/>
    <xf numFmtId="0" fontId="13" fillId="20" borderId="185" applyNumberForma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3" fillId="20" borderId="185" applyNumberFormat="0" applyAlignment="0" applyProtection="0"/>
    <xf numFmtId="0" fontId="19" fillId="0" borderId="186" applyNumberFormat="0" applyFill="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9" fillId="7" borderId="183" applyNumberFormat="0" applyAlignment="0" applyProtection="0"/>
    <xf numFmtId="0" fontId="8" fillId="21" borderId="184" applyNumberFormat="0" applyFont="0" applyAlignment="0" applyProtection="0"/>
    <xf numFmtId="0" fontId="6" fillId="20" borderId="183" applyNumberFormat="0" applyAlignment="0" applyProtection="0"/>
    <xf numFmtId="0" fontId="9" fillId="7" borderId="183" applyNumberFormat="0" applyAlignment="0" applyProtection="0"/>
    <xf numFmtId="0" fontId="8" fillId="21" borderId="184" applyNumberFormat="0" applyFont="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3" fillId="20" borderId="185" applyNumberFormat="0" applyAlignment="0" applyProtection="0"/>
    <xf numFmtId="0" fontId="13" fillId="20" borderId="185" applyNumberFormat="0" applyAlignment="0" applyProtection="0"/>
    <xf numFmtId="0" fontId="13" fillId="20" borderId="185" applyNumberFormat="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6" fillId="20" borderId="183" applyNumberFormat="0" applyAlignment="0" applyProtection="0"/>
    <xf numFmtId="0" fontId="13" fillId="20" borderId="185" applyNumberFormat="0" applyAlignment="0" applyProtection="0"/>
    <xf numFmtId="0" fontId="8" fillId="21" borderId="184" applyNumberFormat="0" applyFont="0" applyAlignment="0" applyProtection="0"/>
    <xf numFmtId="0" fontId="9" fillId="7" borderId="183" applyNumberFormat="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9" fillId="7" borderId="183" applyNumberFormat="0" applyAlignment="0" applyProtection="0"/>
    <xf numFmtId="0" fontId="13" fillId="20" borderId="185"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9" fillId="7" borderId="183" applyNumberFormat="0" applyAlignment="0" applyProtection="0"/>
    <xf numFmtId="0" fontId="8" fillId="21" borderId="184" applyNumberFormat="0" applyFont="0" applyAlignment="0" applyProtection="0"/>
    <xf numFmtId="0" fontId="8" fillId="21" borderId="184" applyNumberFormat="0" applyFont="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9" fillId="7" borderId="183" applyNumberFormat="0" applyAlignment="0" applyProtection="0"/>
    <xf numFmtId="0" fontId="8" fillId="21" borderId="184" applyNumberFormat="0" applyFont="0" applyAlignment="0" applyProtection="0"/>
    <xf numFmtId="0" fontId="13" fillId="20" borderId="185" applyNumberForma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3" fillId="20" borderId="185" applyNumberFormat="0" applyAlignment="0" applyProtection="0"/>
    <xf numFmtId="0" fontId="19" fillId="0" borderId="186" applyNumberFormat="0" applyFill="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86" applyNumberFormat="0" applyFill="0" applyAlignment="0" applyProtection="0"/>
    <xf numFmtId="0" fontId="6" fillId="20" borderId="183" applyNumberFormat="0" applyAlignment="0" applyProtection="0"/>
    <xf numFmtId="0" fontId="8" fillId="21" borderId="184" applyNumberFormat="0" applyFont="0" applyAlignment="0" applyProtection="0"/>
    <xf numFmtId="0" fontId="9" fillId="7" borderId="183" applyNumberFormat="0" applyAlignment="0" applyProtection="0"/>
    <xf numFmtId="0" fontId="13" fillId="20" borderId="185" applyNumberFormat="0" applyAlignment="0" applyProtection="0"/>
    <xf numFmtId="0" fontId="19" fillId="0" borderId="186"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9" fillId="7" borderId="187" applyNumberFormat="0" applyAlignment="0" applyProtection="0"/>
    <xf numFmtId="0" fontId="8" fillId="21" borderId="188" applyNumberFormat="0" applyFont="0" applyAlignment="0" applyProtection="0"/>
    <xf numFmtId="0" fontId="6" fillId="20" borderId="187" applyNumberFormat="0" applyAlignment="0" applyProtection="0"/>
    <xf numFmtId="0" fontId="9" fillId="7" borderId="187" applyNumberFormat="0" applyAlignment="0" applyProtection="0"/>
    <xf numFmtId="0" fontId="8" fillId="21" borderId="188" applyNumberFormat="0" applyFont="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3" fillId="20" borderId="189" applyNumberFormat="0" applyAlignment="0" applyProtection="0"/>
    <xf numFmtId="0" fontId="13" fillId="20" borderId="189" applyNumberFormat="0" applyAlignment="0" applyProtection="0"/>
    <xf numFmtId="0" fontId="13" fillId="20" borderId="189" applyNumberFormat="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6" fillId="20" borderId="187" applyNumberFormat="0" applyAlignment="0" applyProtection="0"/>
    <xf numFmtId="0" fontId="13" fillId="20" borderId="189" applyNumberFormat="0" applyAlignment="0" applyProtection="0"/>
    <xf numFmtId="0" fontId="8" fillId="21" borderId="188" applyNumberFormat="0" applyFont="0" applyAlignment="0" applyProtection="0"/>
    <xf numFmtId="0" fontId="9" fillId="7" borderId="187" applyNumberFormat="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9" fillId="7" borderId="187" applyNumberFormat="0" applyAlignment="0" applyProtection="0"/>
    <xf numFmtId="0" fontId="13" fillId="20" borderId="189"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9" fillId="7" borderId="187" applyNumberFormat="0" applyAlignment="0" applyProtection="0"/>
    <xf numFmtId="0" fontId="8" fillId="21" borderId="188" applyNumberFormat="0" applyFont="0" applyAlignment="0" applyProtection="0"/>
    <xf numFmtId="0" fontId="8" fillId="21" borderId="188" applyNumberFormat="0" applyFont="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9" fillId="7" borderId="187" applyNumberFormat="0" applyAlignment="0" applyProtection="0"/>
    <xf numFmtId="0" fontId="8" fillId="21" borderId="188" applyNumberFormat="0" applyFont="0" applyAlignment="0" applyProtection="0"/>
    <xf numFmtId="0" fontId="13" fillId="20" borderId="189" applyNumberForma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3" fillId="20" borderId="189" applyNumberFormat="0" applyAlignment="0" applyProtection="0"/>
    <xf numFmtId="0" fontId="19" fillId="0" borderId="190" applyNumberFormat="0" applyFill="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9" fillId="7" borderId="187" applyNumberFormat="0" applyAlignment="0" applyProtection="0"/>
    <xf numFmtId="0" fontId="8" fillId="21" borderId="188" applyNumberFormat="0" applyFont="0" applyAlignment="0" applyProtection="0"/>
    <xf numFmtId="0" fontId="6" fillId="20" borderId="187" applyNumberFormat="0" applyAlignment="0" applyProtection="0"/>
    <xf numFmtId="0" fontId="9" fillId="7" borderId="187" applyNumberFormat="0" applyAlignment="0" applyProtection="0"/>
    <xf numFmtId="0" fontId="8" fillId="21" borderId="188" applyNumberFormat="0" applyFont="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3" fillId="20" borderId="189" applyNumberFormat="0" applyAlignment="0" applyProtection="0"/>
    <xf numFmtId="0" fontId="13" fillId="20" borderId="189" applyNumberFormat="0" applyAlignment="0" applyProtection="0"/>
    <xf numFmtId="0" fontId="13" fillId="20" borderId="189" applyNumberFormat="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6" fillId="20" borderId="187" applyNumberFormat="0" applyAlignment="0" applyProtection="0"/>
    <xf numFmtId="0" fontId="13" fillId="20" borderId="189" applyNumberFormat="0" applyAlignment="0" applyProtection="0"/>
    <xf numFmtId="0" fontId="8" fillId="21" borderId="188" applyNumberFormat="0" applyFont="0" applyAlignment="0" applyProtection="0"/>
    <xf numFmtId="0" fontId="9" fillId="7" borderId="187" applyNumberFormat="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9" fillId="7" borderId="187" applyNumberFormat="0" applyAlignment="0" applyProtection="0"/>
    <xf numFmtId="0" fontId="13" fillId="20" borderId="189"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9" fillId="7" borderId="187" applyNumberFormat="0" applyAlignment="0" applyProtection="0"/>
    <xf numFmtId="0" fontId="8" fillId="21" borderId="188" applyNumberFormat="0" applyFont="0" applyAlignment="0" applyProtection="0"/>
    <xf numFmtId="0" fontId="8" fillId="21" borderId="188" applyNumberFormat="0" applyFont="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9" fillId="7" borderId="187" applyNumberFormat="0" applyAlignment="0" applyProtection="0"/>
    <xf numFmtId="0" fontId="8" fillId="21" borderId="188" applyNumberFormat="0" applyFont="0" applyAlignment="0" applyProtection="0"/>
    <xf numFmtId="0" fontId="13" fillId="20" borderId="189" applyNumberForma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3" fillId="20" borderId="189" applyNumberFormat="0" applyAlignment="0" applyProtection="0"/>
    <xf numFmtId="0" fontId="19" fillId="0" borderId="190" applyNumberFormat="0" applyFill="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0" applyNumberFormat="0" applyFill="0" applyAlignment="0" applyProtection="0"/>
    <xf numFmtId="0" fontId="6" fillId="20" borderId="187" applyNumberFormat="0" applyAlignment="0" applyProtection="0"/>
    <xf numFmtId="0" fontId="8" fillId="21" borderId="188" applyNumberFormat="0" applyFont="0" applyAlignment="0" applyProtection="0"/>
    <xf numFmtId="0" fontId="9" fillId="7" borderId="187" applyNumberFormat="0" applyAlignment="0" applyProtection="0"/>
    <xf numFmtId="0" fontId="13" fillId="20" borderId="189" applyNumberFormat="0" applyAlignment="0" applyProtection="0"/>
    <xf numFmtId="0" fontId="19" fillId="0" borderId="190" applyNumberFormat="0" applyFill="0" applyAlignment="0" applyProtection="0"/>
    <xf numFmtId="0" fontId="19" fillId="0" borderId="198" applyNumberFormat="0" applyFill="0" applyAlignment="0" applyProtection="0"/>
    <xf numFmtId="0" fontId="13" fillId="20" borderId="197" applyNumberFormat="0" applyAlignment="0" applyProtection="0"/>
    <xf numFmtId="0" fontId="9" fillId="7" borderId="195" applyNumberFormat="0" applyAlignment="0" applyProtection="0"/>
    <xf numFmtId="0" fontId="13" fillId="20" borderId="197" applyNumberFormat="0" applyAlignment="0" applyProtection="0"/>
    <xf numFmtId="0" fontId="13" fillId="20" borderId="197" applyNumberFormat="0" applyAlignment="0" applyProtection="0"/>
    <xf numFmtId="0" fontId="13" fillId="20" borderId="197" applyNumberFormat="0" applyAlignment="0" applyProtection="0"/>
    <xf numFmtId="0" fontId="9" fillId="7" borderId="195" applyNumberFormat="0" applyAlignment="0" applyProtection="0"/>
    <xf numFmtId="0" fontId="8" fillId="21" borderId="200" applyNumberFormat="0" applyFont="0" applyAlignment="0" applyProtection="0"/>
    <xf numFmtId="0" fontId="8" fillId="21" borderId="196" applyNumberFormat="0" applyFont="0" applyAlignment="0" applyProtection="0"/>
    <xf numFmtId="0" fontId="8" fillId="21" borderId="196" applyNumberFormat="0" applyFont="0" applyAlignment="0" applyProtection="0"/>
    <xf numFmtId="0" fontId="6" fillId="20" borderId="195" applyNumberFormat="0" applyAlignment="0" applyProtection="0"/>
    <xf numFmtId="0" fontId="19" fillId="0" borderId="198" applyNumberFormat="0" applyFill="0" applyAlignment="0" applyProtection="0"/>
    <xf numFmtId="0" fontId="13" fillId="20" borderId="197" applyNumberFormat="0" applyAlignment="0" applyProtection="0"/>
    <xf numFmtId="0" fontId="6" fillId="20" borderId="199" applyNumberFormat="0" applyAlignment="0" applyProtection="0"/>
    <xf numFmtId="0" fontId="19" fillId="0" borderId="198" applyNumberFormat="0" applyFill="0" applyAlignment="0" applyProtection="0"/>
    <xf numFmtId="0" fontId="9" fillId="7" borderId="195" applyNumberFormat="0" applyAlignment="0" applyProtection="0"/>
    <xf numFmtId="0" fontId="8" fillId="21" borderId="196" applyNumberFormat="0" applyFont="0" applyAlignment="0" applyProtection="0"/>
    <xf numFmtId="0" fontId="9" fillId="7" borderId="195" applyNumberFormat="0" applyAlignment="0" applyProtection="0"/>
    <xf numFmtId="0" fontId="19" fillId="0" borderId="198" applyNumberFormat="0" applyFill="0" applyAlignment="0" applyProtection="0"/>
    <xf numFmtId="0" fontId="6" fillId="20" borderId="195" applyNumberFormat="0" applyAlignment="0" applyProtection="0"/>
    <xf numFmtId="0" fontId="13" fillId="20" borderId="201" applyNumberFormat="0" applyAlignment="0" applyProtection="0"/>
    <xf numFmtId="0" fontId="9" fillId="7" borderId="195" applyNumberFormat="0" applyAlignment="0" applyProtection="0"/>
    <xf numFmtId="0" fontId="6" fillId="20" borderId="195" applyNumberFormat="0" applyAlignment="0" applyProtection="0"/>
    <xf numFmtId="0" fontId="6" fillId="20" borderId="195" applyNumberFormat="0" applyAlignment="0" applyProtection="0"/>
    <xf numFmtId="0" fontId="6" fillId="20" borderId="195" applyNumberFormat="0" applyAlignment="0" applyProtection="0"/>
    <xf numFmtId="0" fontId="9" fillId="7" borderId="195" applyNumberFormat="0" applyAlignment="0" applyProtection="0"/>
    <xf numFmtId="0" fontId="6" fillId="20" borderId="195" applyNumberFormat="0" applyAlignment="0" applyProtection="0"/>
    <xf numFmtId="0" fontId="6" fillId="20" borderId="191" applyNumberFormat="0" applyAlignment="0" applyProtection="0"/>
    <xf numFmtId="0" fontId="9" fillId="7" borderId="195" applyNumberFormat="0" applyAlignment="0" applyProtection="0"/>
    <xf numFmtId="0" fontId="8" fillId="21" borderId="192" applyNumberFormat="0" applyFont="0" applyAlignment="0" applyProtection="0"/>
    <xf numFmtId="0" fontId="9" fillId="7" borderId="191" applyNumberFormat="0" applyAlignment="0" applyProtection="0"/>
    <xf numFmtId="0" fontId="6" fillId="20" borderId="195" applyNumberFormat="0" applyAlignment="0" applyProtection="0"/>
    <xf numFmtId="0" fontId="9" fillId="7" borderId="195" applyNumberFormat="0" applyAlignment="0" applyProtection="0"/>
    <xf numFmtId="0" fontId="19" fillId="0" borderId="202" applyNumberFormat="0" applyFill="0" applyAlignment="0" applyProtection="0"/>
    <xf numFmtId="0" fontId="19" fillId="0" borderId="198" applyNumberFormat="0" applyFill="0" applyAlignment="0" applyProtection="0"/>
    <xf numFmtId="0" fontId="13" fillId="20" borderId="193" applyNumberFormat="0" applyAlignment="0" applyProtection="0"/>
    <xf numFmtId="0" fontId="8" fillId="21" borderId="196" applyNumberFormat="0" applyFont="0" applyAlignment="0" applyProtection="0"/>
    <xf numFmtId="0" fontId="6" fillId="20" borderId="195" applyNumberFormat="0" applyAlignment="0" applyProtection="0"/>
    <xf numFmtId="0" fontId="8" fillId="21" borderId="196" applyNumberFormat="0" applyFont="0" applyAlignment="0" applyProtection="0"/>
    <xf numFmtId="0" fontId="13" fillId="20" borderId="197" applyNumberFormat="0" applyAlignment="0" applyProtection="0"/>
    <xf numFmtId="0" fontId="13" fillId="20" borderId="205" applyNumberFormat="0" applyAlignment="0" applyProtection="0"/>
    <xf numFmtId="0" fontId="19" fillId="0" borderId="198" applyNumberFormat="0" applyFill="0" applyAlignment="0" applyProtection="0"/>
    <xf numFmtId="0" fontId="19" fillId="0" borderId="194" applyNumberFormat="0" applyFill="0" applyAlignment="0" applyProtection="0"/>
    <xf numFmtId="0" fontId="6" fillId="20" borderId="199"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9" fillId="7" borderId="191" applyNumberFormat="0" applyAlignment="0" applyProtection="0"/>
    <xf numFmtId="0" fontId="8" fillId="21" borderId="192" applyNumberFormat="0" applyFont="0" applyAlignment="0" applyProtection="0"/>
    <xf numFmtId="0" fontId="6" fillId="20" borderId="191" applyNumberFormat="0" applyAlignment="0" applyProtection="0"/>
    <xf numFmtId="0" fontId="9" fillId="7" borderId="191" applyNumberFormat="0" applyAlignment="0" applyProtection="0"/>
    <xf numFmtId="0" fontId="8" fillId="21" borderId="192" applyNumberFormat="0" applyFont="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3" fillId="20" borderId="193" applyNumberFormat="0" applyAlignment="0" applyProtection="0"/>
    <xf numFmtId="0" fontId="13" fillId="20" borderId="193" applyNumberFormat="0" applyAlignment="0" applyProtection="0"/>
    <xf numFmtId="0" fontId="13" fillId="20" borderId="193" applyNumberFormat="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6" fillId="20" borderId="191" applyNumberFormat="0" applyAlignment="0" applyProtection="0"/>
    <xf numFmtId="0" fontId="13" fillId="20" borderId="193" applyNumberFormat="0" applyAlignment="0" applyProtection="0"/>
    <xf numFmtId="0" fontId="8" fillId="21" borderId="192" applyNumberFormat="0" applyFont="0" applyAlignment="0" applyProtection="0"/>
    <xf numFmtId="0" fontId="9" fillId="7" borderId="191" applyNumberFormat="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9" fillId="7" borderId="191" applyNumberFormat="0" applyAlignment="0" applyProtection="0"/>
    <xf numFmtId="0" fontId="13" fillId="20" borderId="193"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9" fillId="7" borderId="191" applyNumberFormat="0" applyAlignment="0" applyProtection="0"/>
    <xf numFmtId="0" fontId="8" fillId="21" borderId="192" applyNumberFormat="0" applyFont="0" applyAlignment="0" applyProtection="0"/>
    <xf numFmtId="0" fontId="8" fillId="21" borderId="192" applyNumberFormat="0" applyFont="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9" fillId="7" borderId="191" applyNumberFormat="0" applyAlignment="0" applyProtection="0"/>
    <xf numFmtId="0" fontId="8" fillId="21" borderId="192" applyNumberFormat="0" applyFont="0" applyAlignment="0" applyProtection="0"/>
    <xf numFmtId="0" fontId="13" fillId="20" borderId="193" applyNumberForma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3" fillId="20" borderId="193" applyNumberFormat="0" applyAlignment="0" applyProtection="0"/>
    <xf numFmtId="0" fontId="19" fillId="0" borderId="194" applyNumberFormat="0" applyFill="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6" fillId="20" borderId="195"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9" fillId="7" borderId="191" applyNumberFormat="0" applyAlignment="0" applyProtection="0"/>
    <xf numFmtId="0" fontId="8" fillId="21" borderId="192" applyNumberFormat="0" applyFont="0" applyAlignment="0" applyProtection="0"/>
    <xf numFmtId="0" fontId="6" fillId="20" borderId="191" applyNumberFormat="0" applyAlignment="0" applyProtection="0"/>
    <xf numFmtId="0" fontId="9" fillId="7" borderId="191" applyNumberFormat="0" applyAlignment="0" applyProtection="0"/>
    <xf numFmtId="0" fontId="8" fillId="21" borderId="192" applyNumberFormat="0" applyFont="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3" fillId="20" borderId="193" applyNumberFormat="0" applyAlignment="0" applyProtection="0"/>
    <xf numFmtId="0" fontId="13" fillId="20" borderId="193" applyNumberFormat="0" applyAlignment="0" applyProtection="0"/>
    <xf numFmtId="0" fontId="13" fillId="20" borderId="193" applyNumberFormat="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6" fillId="20" borderId="191" applyNumberFormat="0" applyAlignment="0" applyProtection="0"/>
    <xf numFmtId="0" fontId="13" fillId="20" borderId="193" applyNumberFormat="0" applyAlignment="0" applyProtection="0"/>
    <xf numFmtId="0" fontId="8" fillId="21" borderId="192" applyNumberFormat="0" applyFont="0" applyAlignment="0" applyProtection="0"/>
    <xf numFmtId="0" fontId="9" fillId="7" borderId="191" applyNumberFormat="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9" fillId="7" borderId="191" applyNumberFormat="0" applyAlignment="0" applyProtection="0"/>
    <xf numFmtId="0" fontId="13" fillId="20" borderId="193"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9" fillId="7" borderId="191" applyNumberFormat="0" applyAlignment="0" applyProtection="0"/>
    <xf numFmtId="0" fontId="8" fillId="21" borderId="192" applyNumberFormat="0" applyFont="0" applyAlignment="0" applyProtection="0"/>
    <xf numFmtId="0" fontId="8" fillId="21" borderId="192" applyNumberFormat="0" applyFont="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9" fillId="7" borderId="191" applyNumberFormat="0" applyAlignment="0" applyProtection="0"/>
    <xf numFmtId="0" fontId="8" fillId="21" borderId="192" applyNumberFormat="0" applyFont="0" applyAlignment="0" applyProtection="0"/>
    <xf numFmtId="0" fontId="13" fillId="20" borderId="193" applyNumberForma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3" fillId="20" borderId="193" applyNumberFormat="0" applyAlignment="0" applyProtection="0"/>
    <xf numFmtId="0" fontId="19" fillId="0" borderId="194" applyNumberFormat="0" applyFill="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19" fillId="0" borderId="194" applyNumberFormat="0" applyFill="0" applyAlignment="0" applyProtection="0"/>
    <xf numFmtId="0" fontId="6" fillId="20" borderId="191" applyNumberFormat="0" applyAlignment="0" applyProtection="0"/>
    <xf numFmtId="0" fontId="8" fillId="21" borderId="192" applyNumberFormat="0" applyFont="0" applyAlignment="0" applyProtection="0"/>
    <xf numFmtId="0" fontId="9" fillId="7" borderId="191" applyNumberFormat="0" applyAlignment="0" applyProtection="0"/>
    <xf numFmtId="0" fontId="13" fillId="20" borderId="193" applyNumberFormat="0" applyAlignment="0" applyProtection="0"/>
    <xf numFmtId="0" fontId="19" fillId="0" borderId="194" applyNumberFormat="0" applyFill="0" applyAlignment="0" applyProtection="0"/>
    <xf numFmtId="0" fontId="8" fillId="21" borderId="196" applyNumberFormat="0" applyFont="0" applyAlignment="0" applyProtection="0"/>
    <xf numFmtId="0" fontId="8" fillId="21" borderId="196" applyNumberFormat="0" applyFont="0" applyAlignment="0" applyProtection="0"/>
    <xf numFmtId="0" fontId="6" fillId="20" borderId="199" applyNumberFormat="0" applyAlignment="0" applyProtection="0"/>
    <xf numFmtId="0" fontId="19" fillId="0" borderId="202" applyNumberFormat="0" applyFill="0" applyAlignment="0" applyProtection="0"/>
    <xf numFmtId="0" fontId="6" fillId="20" borderId="195" applyNumberFormat="0" applyAlignment="0" applyProtection="0"/>
    <xf numFmtId="0" fontId="13" fillId="20" borderId="197" applyNumberFormat="0" applyAlignment="0" applyProtection="0"/>
    <xf numFmtId="0" fontId="6" fillId="20" borderId="195" applyNumberFormat="0" applyAlignment="0" applyProtection="0"/>
    <xf numFmtId="0" fontId="6" fillId="20" borderId="195" applyNumberFormat="0" applyAlignment="0" applyProtection="0"/>
    <xf numFmtId="0" fontId="9" fillId="7" borderId="195" applyNumberFormat="0" applyAlignment="0" applyProtection="0"/>
    <xf numFmtId="0" fontId="19" fillId="0" borderId="198" applyNumberFormat="0" applyFill="0" applyAlignment="0" applyProtection="0"/>
    <xf numFmtId="0" fontId="13" fillId="20" borderId="197" applyNumberFormat="0" applyAlignment="0" applyProtection="0"/>
    <xf numFmtId="0" fontId="13" fillId="20" borderId="201" applyNumberFormat="0" applyAlignment="0" applyProtection="0"/>
    <xf numFmtId="0" fontId="9" fillId="7" borderId="195" applyNumberFormat="0" applyAlignment="0" applyProtection="0"/>
    <xf numFmtId="0" fontId="13" fillId="20" borderId="201" applyNumberFormat="0" applyAlignment="0" applyProtection="0"/>
    <xf numFmtId="0" fontId="13" fillId="20" borderId="197" applyNumberFormat="0" applyAlignment="0" applyProtection="0"/>
    <xf numFmtId="0" fontId="6" fillId="20" borderId="195" applyNumberFormat="0" applyAlignment="0" applyProtection="0"/>
    <xf numFmtId="0" fontId="9" fillId="7" borderId="195" applyNumberFormat="0" applyAlignment="0" applyProtection="0"/>
    <xf numFmtId="0" fontId="19" fillId="0" borderId="198" applyNumberFormat="0" applyFill="0" applyAlignment="0" applyProtection="0"/>
    <xf numFmtId="0" fontId="8" fillId="21" borderId="196" applyNumberFormat="0" applyFont="0" applyAlignment="0" applyProtection="0"/>
    <xf numFmtId="0" fontId="9" fillId="7" borderId="195" applyNumberFormat="0" applyAlignment="0" applyProtection="0"/>
    <xf numFmtId="0" fontId="13" fillId="20" borderId="197" applyNumberFormat="0" applyAlignment="0" applyProtection="0"/>
    <xf numFmtId="0" fontId="9" fillId="7" borderId="195" applyNumberFormat="0" applyAlignment="0" applyProtection="0"/>
    <xf numFmtId="0" fontId="9" fillId="7" borderId="195" applyNumberFormat="0" applyAlignment="0" applyProtection="0"/>
    <xf numFmtId="0" fontId="6" fillId="20" borderId="195" applyNumberFormat="0" applyAlignment="0" applyProtection="0"/>
    <xf numFmtId="0" fontId="19" fillId="0" borderId="198" applyNumberFormat="0" applyFill="0" applyAlignment="0" applyProtection="0"/>
    <xf numFmtId="0" fontId="13" fillId="20" borderId="197" applyNumberFormat="0" applyAlignment="0" applyProtection="0"/>
    <xf numFmtId="0" fontId="13" fillId="20" borderId="197" applyNumberFormat="0" applyAlignment="0" applyProtection="0"/>
    <xf numFmtId="0" fontId="13" fillId="20" borderId="197" applyNumberFormat="0" applyAlignment="0" applyProtection="0"/>
    <xf numFmtId="0" fontId="9" fillId="7" borderId="195" applyNumberFormat="0" applyAlignment="0" applyProtection="0"/>
    <xf numFmtId="0" fontId="13" fillId="20" borderId="197" applyNumberFormat="0" applyAlignment="0" applyProtection="0"/>
    <xf numFmtId="0" fontId="19" fillId="0" borderId="198" applyNumberFormat="0" applyFill="0" applyAlignment="0" applyProtection="0"/>
    <xf numFmtId="0" fontId="6" fillId="20" borderId="195" applyNumberFormat="0" applyAlignment="0" applyProtection="0"/>
    <xf numFmtId="0" fontId="6" fillId="20" borderId="195" applyNumberFormat="0" applyAlignment="0" applyProtection="0"/>
    <xf numFmtId="0" fontId="19" fillId="0" borderId="198" applyNumberFormat="0" applyFill="0" applyAlignment="0" applyProtection="0"/>
    <xf numFmtId="0" fontId="13" fillId="20" borderId="197" applyNumberFormat="0" applyAlignment="0" applyProtection="0"/>
    <xf numFmtId="0" fontId="8" fillId="21" borderId="196" applyNumberFormat="0" applyFont="0" applyAlignment="0" applyProtection="0"/>
    <xf numFmtId="0" fontId="19" fillId="0" borderId="198" applyNumberFormat="0" applyFill="0" applyAlignment="0" applyProtection="0"/>
    <xf numFmtId="0" fontId="8" fillId="21" borderId="196" applyNumberFormat="0" applyFont="0" applyAlignment="0" applyProtection="0"/>
    <xf numFmtId="0" fontId="13" fillId="20" borderId="201" applyNumberFormat="0" applyAlignment="0" applyProtection="0"/>
    <xf numFmtId="0" fontId="8" fillId="21" borderId="196" applyNumberFormat="0" applyFont="0" applyAlignment="0" applyProtection="0"/>
    <xf numFmtId="0" fontId="13" fillId="20" borderId="201" applyNumberFormat="0" applyAlignment="0" applyProtection="0"/>
    <xf numFmtId="0" fontId="9" fillId="7" borderId="195" applyNumberFormat="0" applyAlignment="0" applyProtection="0"/>
    <xf numFmtId="0" fontId="8" fillId="21" borderId="204" applyNumberFormat="0" applyFont="0" applyAlignment="0" applyProtection="0"/>
    <xf numFmtId="0" fontId="6" fillId="20" borderId="195" applyNumberFormat="0" applyAlignment="0" applyProtection="0"/>
    <xf numFmtId="0" fontId="13" fillId="20" borderId="197" applyNumberFormat="0" applyAlignment="0" applyProtection="0"/>
    <xf numFmtId="0" fontId="19" fillId="0" borderId="206" applyNumberFormat="0" applyFill="0" applyAlignment="0" applyProtection="0"/>
    <xf numFmtId="0" fontId="8" fillId="21" borderId="196" applyNumberFormat="0" applyFont="0" applyAlignment="0" applyProtection="0"/>
    <xf numFmtId="0" fontId="8" fillId="21" borderId="196" applyNumberFormat="0" applyFont="0" applyAlignment="0" applyProtection="0"/>
    <xf numFmtId="0" fontId="19" fillId="0" borderId="198" applyNumberFormat="0" applyFill="0" applyAlignment="0" applyProtection="0"/>
    <xf numFmtId="0" fontId="9" fillId="7" borderId="195" applyNumberFormat="0" applyAlignment="0" applyProtection="0"/>
    <xf numFmtId="0" fontId="19" fillId="0" borderId="198" applyNumberFormat="0" applyFill="0" applyAlignment="0" applyProtection="0"/>
    <xf numFmtId="0" fontId="6" fillId="20" borderId="195" applyNumberFormat="0" applyAlignment="0" applyProtection="0"/>
    <xf numFmtId="0" fontId="13" fillId="20" borderId="197" applyNumberFormat="0" applyAlignment="0" applyProtection="0"/>
    <xf numFmtId="0" fontId="9" fillId="7" borderId="195" applyNumberFormat="0" applyAlignment="0" applyProtection="0"/>
    <xf numFmtId="0" fontId="19" fillId="0" borderId="198" applyNumberFormat="0" applyFill="0" applyAlignment="0" applyProtection="0"/>
    <xf numFmtId="0" fontId="6" fillId="20" borderId="195" applyNumberFormat="0" applyAlignment="0" applyProtection="0"/>
    <xf numFmtId="0" fontId="13" fillId="20" borderId="197" applyNumberFormat="0" applyAlignment="0" applyProtection="0"/>
    <xf numFmtId="0" fontId="9" fillId="7" borderId="195" applyNumberFormat="0" applyAlignment="0" applyProtection="0"/>
    <xf numFmtId="0" fontId="19" fillId="0" borderId="198" applyNumberFormat="0" applyFill="0" applyAlignment="0" applyProtection="0"/>
    <xf numFmtId="0" fontId="13" fillId="20" borderId="197" applyNumberFormat="0" applyAlignment="0" applyProtection="0"/>
    <xf numFmtId="0" fontId="19" fillId="0" borderId="198" applyNumberFormat="0" applyFill="0" applyAlignment="0" applyProtection="0"/>
    <xf numFmtId="0" fontId="8" fillId="21" borderId="196" applyNumberFormat="0" applyFont="0" applyAlignment="0" applyProtection="0"/>
    <xf numFmtId="0" fontId="9" fillId="7" borderId="195" applyNumberFormat="0" applyAlignment="0" applyProtection="0"/>
    <xf numFmtId="0" fontId="13" fillId="20" borderId="197" applyNumberFormat="0" applyAlignment="0" applyProtection="0"/>
    <xf numFmtId="0" fontId="8" fillId="21" borderId="196" applyNumberFormat="0" applyFont="0" applyAlignment="0" applyProtection="0"/>
    <xf numFmtId="0" fontId="9" fillId="7" borderId="199" applyNumberFormat="0" applyAlignment="0" applyProtection="0"/>
    <xf numFmtId="0" fontId="8" fillId="21" borderId="196" applyNumberFormat="0" applyFont="0" applyAlignment="0" applyProtection="0"/>
    <xf numFmtId="0" fontId="13" fillId="20" borderId="197" applyNumberFormat="0" applyAlignment="0" applyProtection="0"/>
    <xf numFmtId="0" fontId="6" fillId="20" borderId="195" applyNumberFormat="0" applyAlignment="0" applyProtection="0"/>
    <xf numFmtId="0" fontId="8" fillId="21" borderId="196" applyNumberFormat="0" applyFont="0" applyAlignment="0" applyProtection="0"/>
    <xf numFmtId="0" fontId="9" fillId="7" borderId="195" applyNumberFormat="0" applyAlignment="0" applyProtection="0"/>
    <xf numFmtId="0" fontId="19" fillId="0" borderId="198" applyNumberFormat="0" applyFill="0" applyAlignment="0" applyProtection="0"/>
    <xf numFmtId="0" fontId="19" fillId="0" borderId="202" applyNumberFormat="0" applyFill="0" applyAlignment="0" applyProtection="0"/>
    <xf numFmtId="0" fontId="6" fillId="20" borderId="195" applyNumberFormat="0" applyAlignment="0" applyProtection="0"/>
    <xf numFmtId="0" fontId="9" fillId="7" borderId="199" applyNumberFormat="0" applyAlignment="0" applyProtection="0"/>
    <xf numFmtId="0" fontId="19" fillId="0" borderId="198" applyNumberFormat="0" applyFill="0" applyAlignment="0" applyProtection="0"/>
    <xf numFmtId="0" fontId="9" fillId="7" borderId="195" applyNumberFormat="0" applyAlignment="0" applyProtection="0"/>
    <xf numFmtId="0" fontId="8" fillId="21" borderId="196" applyNumberFormat="0" applyFont="0" applyAlignment="0" applyProtection="0"/>
    <xf numFmtId="0" fontId="13" fillId="20" borderId="197" applyNumberFormat="0" applyAlignment="0" applyProtection="0"/>
    <xf numFmtId="0" fontId="13" fillId="20" borderId="197" applyNumberFormat="0" applyAlignment="0" applyProtection="0"/>
    <xf numFmtId="0" fontId="8" fillId="21" borderId="200" applyNumberFormat="0" applyFont="0" applyAlignment="0" applyProtection="0"/>
    <xf numFmtId="0" fontId="13" fillId="20" borderId="197" applyNumberFormat="0" applyAlignment="0" applyProtection="0"/>
    <xf numFmtId="0" fontId="13" fillId="20" borderId="197" applyNumberFormat="0" applyAlignment="0" applyProtection="0"/>
    <xf numFmtId="0" fontId="13" fillId="20" borderId="197" applyNumberFormat="0" applyAlignment="0" applyProtection="0"/>
    <xf numFmtId="0" fontId="8" fillId="21" borderId="196" applyNumberFormat="0" applyFont="0" applyAlignment="0" applyProtection="0"/>
    <xf numFmtId="0" fontId="9" fillId="7" borderId="199" applyNumberFormat="0" applyAlignment="0" applyProtection="0"/>
    <xf numFmtId="0" fontId="13" fillId="20" borderId="197" applyNumberFormat="0" applyAlignment="0" applyProtection="0"/>
    <xf numFmtId="0" fontId="9" fillId="7" borderId="199" applyNumberFormat="0" applyAlignment="0" applyProtection="0"/>
    <xf numFmtId="0" fontId="6" fillId="20" borderId="195" applyNumberFormat="0" applyAlignment="0" applyProtection="0"/>
    <xf numFmtId="0" fontId="8" fillId="21" borderId="196" applyNumberFormat="0" applyFont="0" applyAlignment="0" applyProtection="0"/>
    <xf numFmtId="0" fontId="13" fillId="20" borderId="197" applyNumberFormat="0" applyAlignment="0" applyProtection="0"/>
    <xf numFmtId="0" fontId="6" fillId="20" borderId="195" applyNumberFormat="0" applyAlignment="0" applyProtection="0"/>
    <xf numFmtId="0" fontId="13" fillId="20" borderId="197" applyNumberFormat="0" applyAlignment="0" applyProtection="0"/>
    <xf numFmtId="0" fontId="19" fillId="0" borderId="202" applyNumberFormat="0" applyFill="0" applyAlignment="0" applyProtection="0"/>
    <xf numFmtId="0" fontId="8" fillId="21" borderId="196" applyNumberFormat="0" applyFont="0" applyAlignment="0" applyProtection="0"/>
    <xf numFmtId="0" fontId="8" fillId="21" borderId="196" applyNumberFormat="0" applyFont="0" applyAlignment="0" applyProtection="0"/>
    <xf numFmtId="0" fontId="13" fillId="20" borderId="197" applyNumberFormat="0" applyAlignment="0" applyProtection="0"/>
    <xf numFmtId="0" fontId="6" fillId="20" borderId="203" applyNumberFormat="0" applyAlignment="0" applyProtection="0"/>
    <xf numFmtId="0" fontId="8" fillId="21" borderId="196" applyNumberFormat="0" applyFont="0" applyAlignment="0" applyProtection="0"/>
    <xf numFmtId="0" fontId="8" fillId="21" borderId="200" applyNumberFormat="0" applyFont="0" applyAlignment="0" applyProtection="0"/>
    <xf numFmtId="0" fontId="9" fillId="7" borderId="195" applyNumberFormat="0" applyAlignment="0" applyProtection="0"/>
    <xf numFmtId="0" fontId="8" fillId="21" borderId="196" applyNumberFormat="0" applyFont="0" applyAlignment="0" applyProtection="0"/>
    <xf numFmtId="0" fontId="6" fillId="20" borderId="195" applyNumberFormat="0" applyAlignment="0" applyProtection="0"/>
    <xf numFmtId="0" fontId="9" fillId="7" borderId="195" applyNumberFormat="0" applyAlignment="0" applyProtection="0"/>
    <xf numFmtId="0" fontId="13" fillId="20" borderId="197" applyNumberFormat="0" applyAlignment="0" applyProtection="0"/>
    <xf numFmtId="0" fontId="13" fillId="20" borderId="197" applyNumberFormat="0" applyAlignment="0" applyProtection="0"/>
    <xf numFmtId="0" fontId="13" fillId="20" borderId="197" applyNumberFormat="0" applyAlignment="0" applyProtection="0"/>
    <xf numFmtId="0" fontId="9" fillId="7" borderId="195" applyNumberFormat="0" applyAlignment="0" applyProtection="0"/>
    <xf numFmtId="0" fontId="9" fillId="7" borderId="195" applyNumberFormat="0" applyAlignment="0" applyProtection="0"/>
    <xf numFmtId="0" fontId="13" fillId="20" borderId="197" applyNumberFormat="0" applyAlignment="0" applyProtection="0"/>
    <xf numFmtId="0" fontId="13" fillId="20" borderId="197" applyNumberFormat="0" applyAlignment="0" applyProtection="0"/>
    <xf numFmtId="0" fontId="8" fillId="21" borderId="200" applyNumberFormat="0" applyFont="0" applyAlignment="0" applyProtection="0"/>
    <xf numFmtId="0" fontId="19" fillId="0" borderId="198" applyNumberFormat="0" applyFill="0" applyAlignment="0" applyProtection="0"/>
    <xf numFmtId="0" fontId="19" fillId="0" borderId="198" applyNumberFormat="0" applyFill="0" applyAlignment="0" applyProtection="0"/>
    <xf numFmtId="0" fontId="13" fillId="20" borderId="197" applyNumberFormat="0" applyAlignment="0" applyProtection="0"/>
    <xf numFmtId="0" fontId="8" fillId="21" borderId="196" applyNumberFormat="0" applyFont="0" applyAlignment="0" applyProtection="0"/>
    <xf numFmtId="0" fontId="19" fillId="0" borderId="198" applyNumberFormat="0" applyFill="0" applyAlignment="0" applyProtection="0"/>
    <xf numFmtId="0" fontId="9" fillId="7" borderId="195" applyNumberFormat="0" applyAlignment="0" applyProtection="0"/>
    <xf numFmtId="0" fontId="6" fillId="20" borderId="195" applyNumberFormat="0" applyAlignment="0" applyProtection="0"/>
    <xf numFmtId="0" fontId="9" fillId="7" borderId="195" applyNumberFormat="0" applyAlignment="0" applyProtection="0"/>
    <xf numFmtId="0" fontId="19" fillId="0" borderId="198" applyNumberFormat="0" applyFill="0" applyAlignment="0" applyProtection="0"/>
    <xf numFmtId="0" fontId="9" fillId="7" borderId="199" applyNumberFormat="0" applyAlignment="0" applyProtection="0"/>
    <xf numFmtId="0" fontId="6" fillId="20" borderId="199" applyNumberFormat="0" applyAlignment="0" applyProtection="0"/>
    <xf numFmtId="0" fontId="8" fillId="21" borderId="196" applyNumberFormat="0" applyFont="0" applyAlignment="0" applyProtection="0"/>
    <xf numFmtId="0" fontId="8" fillId="21" borderId="196" applyNumberFormat="0" applyFont="0" applyAlignment="0" applyProtection="0"/>
    <xf numFmtId="0" fontId="9" fillId="7" borderId="195" applyNumberFormat="0" applyAlignment="0" applyProtection="0"/>
    <xf numFmtId="0" fontId="9" fillId="7" borderId="195" applyNumberFormat="0" applyAlignment="0" applyProtection="0"/>
    <xf numFmtId="0" fontId="19" fillId="0" borderId="198" applyNumberFormat="0" applyFill="0" applyAlignment="0" applyProtection="0"/>
    <xf numFmtId="0" fontId="8" fillId="21" borderId="200" applyNumberFormat="0" applyFont="0" applyAlignment="0" applyProtection="0"/>
    <xf numFmtId="0" fontId="9" fillId="7" borderId="195" applyNumberFormat="0" applyAlignment="0" applyProtection="0"/>
    <xf numFmtId="0" fontId="9" fillId="7" borderId="199" applyNumberFormat="0" applyAlignment="0" applyProtection="0"/>
    <xf numFmtId="0" fontId="6" fillId="20" borderId="195" applyNumberFormat="0" applyAlignment="0" applyProtection="0"/>
    <xf numFmtId="0" fontId="6" fillId="20" borderId="195" applyNumberFormat="0" applyAlignment="0" applyProtection="0"/>
    <xf numFmtId="0" fontId="8" fillId="21" borderId="196" applyNumberFormat="0" applyFont="0" applyAlignment="0" applyProtection="0"/>
    <xf numFmtId="0" fontId="6" fillId="20" borderId="195" applyNumberFormat="0" applyAlignment="0" applyProtection="0"/>
    <xf numFmtId="0" fontId="9" fillId="7" borderId="195" applyNumberFormat="0" applyAlignment="0" applyProtection="0"/>
    <xf numFmtId="0" fontId="19" fillId="0" borderId="198" applyNumberFormat="0" applyFill="0" applyAlignment="0" applyProtection="0"/>
    <xf numFmtId="0" fontId="19" fillId="0" borderId="198" applyNumberFormat="0" applyFill="0" applyAlignment="0" applyProtection="0"/>
    <xf numFmtId="0" fontId="8" fillId="21" borderId="196" applyNumberFormat="0" applyFont="0" applyAlignment="0" applyProtection="0"/>
    <xf numFmtId="0" fontId="6" fillId="20" borderId="195" applyNumberFormat="0" applyAlignment="0" applyProtection="0"/>
    <xf numFmtId="0" fontId="13" fillId="20" borderId="197" applyNumberFormat="0" applyAlignment="0" applyProtection="0"/>
    <xf numFmtId="0" fontId="6" fillId="20" borderId="199" applyNumberFormat="0" applyAlignment="0" applyProtection="0"/>
    <xf numFmtId="0" fontId="8" fillId="21" borderId="196" applyNumberFormat="0" applyFont="0" applyAlignment="0" applyProtection="0"/>
    <xf numFmtId="0" fontId="19" fillId="0" borderId="198" applyNumberFormat="0" applyFill="0" applyAlignment="0" applyProtection="0"/>
    <xf numFmtId="0" fontId="9" fillId="7" borderId="195" applyNumberFormat="0" applyAlignment="0" applyProtection="0"/>
    <xf numFmtId="0" fontId="13" fillId="20" borderId="197" applyNumberFormat="0" applyAlignment="0" applyProtection="0"/>
    <xf numFmtId="0" fontId="13" fillId="20" borderId="197" applyNumberFormat="0" applyAlignment="0" applyProtection="0"/>
    <xf numFmtId="0" fontId="9" fillId="7" borderId="195" applyNumberFormat="0" applyAlignment="0" applyProtection="0"/>
    <xf numFmtId="0" fontId="19" fillId="0" borderId="198" applyNumberFormat="0" applyFill="0" applyAlignment="0" applyProtection="0"/>
    <xf numFmtId="0" fontId="19" fillId="0" borderId="202" applyNumberFormat="0" applyFill="0" applyAlignment="0" applyProtection="0"/>
    <xf numFmtId="0" fontId="8" fillId="21" borderId="196" applyNumberFormat="0" applyFont="0" applyAlignment="0" applyProtection="0"/>
    <xf numFmtId="0" fontId="8" fillId="21" borderId="200" applyNumberFormat="0" applyFont="0" applyAlignment="0" applyProtection="0"/>
    <xf numFmtId="0" fontId="9" fillId="7" borderId="195" applyNumberFormat="0" applyAlignment="0" applyProtection="0"/>
    <xf numFmtId="0" fontId="19" fillId="0" borderId="198" applyNumberFormat="0" applyFill="0" applyAlignment="0" applyProtection="0"/>
    <xf numFmtId="0" fontId="8" fillId="21" borderId="196" applyNumberFormat="0" applyFont="0" applyAlignment="0" applyProtection="0"/>
    <xf numFmtId="0" fontId="19" fillId="0" borderId="202" applyNumberFormat="0" applyFill="0" applyAlignment="0" applyProtection="0"/>
    <xf numFmtId="0" fontId="9" fillId="7" borderId="195" applyNumberFormat="0" applyAlignment="0" applyProtection="0"/>
    <xf numFmtId="0" fontId="6" fillId="20" borderId="195" applyNumberFormat="0" applyAlignment="0" applyProtection="0"/>
    <xf numFmtId="0" fontId="6" fillId="20" borderId="195" applyNumberFormat="0" applyAlignment="0" applyProtection="0"/>
    <xf numFmtId="0" fontId="19" fillId="0" borderId="198" applyNumberFormat="0" applyFill="0" applyAlignment="0" applyProtection="0"/>
    <xf numFmtId="0" fontId="9" fillId="7" borderId="195" applyNumberFormat="0" applyAlignment="0" applyProtection="0"/>
    <xf numFmtId="0" fontId="9" fillId="7" borderId="195" applyNumberFormat="0" applyAlignment="0" applyProtection="0"/>
    <xf numFmtId="0" fontId="19" fillId="0" borderId="198" applyNumberFormat="0" applyFill="0" applyAlignment="0" applyProtection="0"/>
    <xf numFmtId="0" fontId="9" fillId="7" borderId="195" applyNumberFormat="0" applyAlignment="0" applyProtection="0"/>
    <xf numFmtId="0" fontId="8" fillId="21" borderId="196" applyNumberFormat="0" applyFont="0" applyAlignment="0" applyProtection="0"/>
    <xf numFmtId="0" fontId="19" fillId="0" borderId="198" applyNumberFormat="0" applyFill="0" applyAlignment="0" applyProtection="0"/>
    <xf numFmtId="0" fontId="13" fillId="20" borderId="197" applyNumberFormat="0" applyAlignment="0" applyProtection="0"/>
    <xf numFmtId="0" fontId="9" fillId="7" borderId="195" applyNumberFormat="0" applyAlignment="0" applyProtection="0"/>
    <xf numFmtId="0" fontId="19" fillId="0" borderId="198" applyNumberFormat="0" applyFill="0" applyAlignment="0" applyProtection="0"/>
    <xf numFmtId="0" fontId="8" fillId="21" borderId="196" applyNumberFormat="0" applyFont="0" applyAlignment="0" applyProtection="0"/>
    <xf numFmtId="0" fontId="8" fillId="21" borderId="196" applyNumberFormat="0" applyFont="0" applyAlignment="0" applyProtection="0"/>
    <xf numFmtId="0" fontId="6" fillId="20" borderId="195" applyNumberFormat="0" applyAlignment="0" applyProtection="0"/>
    <xf numFmtId="0" fontId="9" fillId="7" borderId="195" applyNumberFormat="0" applyAlignment="0" applyProtection="0"/>
    <xf numFmtId="0" fontId="19" fillId="0" borderId="198" applyNumberFormat="0" applyFill="0" applyAlignment="0" applyProtection="0"/>
    <xf numFmtId="0" fontId="6" fillId="20" borderId="195" applyNumberFormat="0" applyAlignment="0" applyProtection="0"/>
    <xf numFmtId="0" fontId="6" fillId="20" borderId="199" applyNumberFormat="0" applyAlignment="0" applyProtection="0"/>
    <xf numFmtId="0" fontId="19" fillId="0" borderId="198" applyNumberFormat="0" applyFill="0" applyAlignment="0" applyProtection="0"/>
    <xf numFmtId="0" fontId="6" fillId="20" borderId="199" applyNumberFormat="0" applyAlignment="0" applyProtection="0"/>
    <xf numFmtId="0" fontId="13" fillId="20" borderId="197" applyNumberFormat="0" applyAlignment="0" applyProtection="0"/>
    <xf numFmtId="0" fontId="6" fillId="20" borderId="195" applyNumberFormat="0" applyAlignment="0" applyProtection="0"/>
    <xf numFmtId="0" fontId="6" fillId="20" borderId="203" applyNumberFormat="0" applyAlignment="0" applyProtection="0"/>
    <xf numFmtId="0" fontId="19" fillId="0" borderId="198" applyNumberFormat="0" applyFill="0" applyAlignment="0" applyProtection="0"/>
    <xf numFmtId="0" fontId="8" fillId="21" borderId="196" applyNumberFormat="0" applyFont="0" applyAlignment="0" applyProtection="0"/>
    <xf numFmtId="0" fontId="9" fillId="7" borderId="195" applyNumberFormat="0" applyAlignment="0" applyProtection="0"/>
    <xf numFmtId="0" fontId="6" fillId="20" borderId="199" applyNumberFormat="0" applyAlignment="0" applyProtection="0"/>
    <xf numFmtId="0" fontId="13" fillId="20" borderId="197" applyNumberFormat="0" applyAlignment="0" applyProtection="0"/>
    <xf numFmtId="0" fontId="19" fillId="0" borderId="198" applyNumberFormat="0" applyFill="0" applyAlignment="0" applyProtection="0"/>
    <xf numFmtId="0" fontId="13" fillId="20" borderId="197" applyNumberFormat="0" applyAlignment="0" applyProtection="0"/>
    <xf numFmtId="0" fontId="9" fillId="7" borderId="195" applyNumberFormat="0" applyAlignment="0" applyProtection="0"/>
    <xf numFmtId="0" fontId="8" fillId="21" borderId="196" applyNumberFormat="0" applyFont="0" applyAlignment="0" applyProtection="0"/>
    <xf numFmtId="0" fontId="8" fillId="21" borderId="196" applyNumberFormat="0" applyFont="0" applyAlignment="0" applyProtection="0"/>
    <xf numFmtId="0" fontId="19" fillId="0" borderId="198" applyNumberFormat="0" applyFill="0" applyAlignment="0" applyProtection="0"/>
    <xf numFmtId="0" fontId="8" fillId="21" borderId="196" applyNumberFormat="0" applyFont="0" applyAlignment="0" applyProtection="0"/>
    <xf numFmtId="0" fontId="8" fillId="21" borderId="196" applyNumberFormat="0" applyFont="0" applyAlignment="0" applyProtection="0"/>
    <xf numFmtId="0" fontId="19" fillId="0" borderId="198" applyNumberFormat="0" applyFill="0" applyAlignment="0" applyProtection="0"/>
    <xf numFmtId="0" fontId="8" fillId="21" borderId="196" applyNumberFormat="0" applyFont="0" applyAlignment="0" applyProtection="0"/>
    <xf numFmtId="0" fontId="9" fillId="7" borderId="195" applyNumberFormat="0" applyAlignment="0" applyProtection="0"/>
    <xf numFmtId="0" fontId="13" fillId="20" borderId="197" applyNumberFormat="0" applyAlignment="0" applyProtection="0"/>
    <xf numFmtId="0" fontId="6" fillId="20" borderId="195" applyNumberFormat="0" applyAlignment="0" applyProtection="0"/>
    <xf numFmtId="0" fontId="19" fillId="0" borderId="198" applyNumberFormat="0" applyFill="0" applyAlignment="0" applyProtection="0"/>
    <xf numFmtId="0" fontId="6" fillId="20" borderId="195" applyNumberFormat="0" applyAlignment="0" applyProtection="0"/>
    <xf numFmtId="0" fontId="6" fillId="20" borderId="195" applyNumberFormat="0" applyAlignment="0" applyProtection="0"/>
    <xf numFmtId="0" fontId="13" fillId="20" borderId="197" applyNumberFormat="0" applyAlignment="0" applyProtection="0"/>
    <xf numFmtId="0" fontId="9" fillId="7" borderId="195" applyNumberFormat="0" applyAlignment="0" applyProtection="0"/>
    <xf numFmtId="0" fontId="19" fillId="0" borderId="198" applyNumberFormat="0" applyFill="0" applyAlignment="0" applyProtection="0"/>
    <xf numFmtId="0" fontId="9" fillId="7" borderId="195" applyNumberFormat="0" applyAlignment="0" applyProtection="0"/>
    <xf numFmtId="0" fontId="6" fillId="20" borderId="199" applyNumberFormat="0" applyAlignment="0" applyProtection="0"/>
    <xf numFmtId="0" fontId="6" fillId="20" borderId="195" applyNumberFormat="0" applyAlignment="0" applyProtection="0"/>
    <xf numFmtId="0" fontId="13" fillId="20" borderId="201" applyNumberFormat="0" applyAlignment="0" applyProtection="0"/>
    <xf numFmtId="0" fontId="6" fillId="20" borderId="195" applyNumberFormat="0" applyAlignment="0" applyProtection="0"/>
    <xf numFmtId="0" fontId="13" fillId="20" borderId="197" applyNumberFormat="0" applyAlignment="0" applyProtection="0"/>
    <xf numFmtId="0" fontId="8" fillId="21" borderId="196" applyNumberFormat="0" applyFont="0" applyAlignment="0" applyProtection="0"/>
    <xf numFmtId="0" fontId="19" fillId="0" borderId="198" applyNumberFormat="0" applyFill="0" applyAlignment="0" applyProtection="0"/>
    <xf numFmtId="0" fontId="19" fillId="0" borderId="198" applyNumberFormat="0" applyFill="0" applyAlignment="0" applyProtection="0"/>
    <xf numFmtId="0" fontId="8" fillId="21" borderId="196" applyNumberFormat="0" applyFont="0" applyAlignment="0" applyProtection="0"/>
    <xf numFmtId="0" fontId="6" fillId="20" borderId="195" applyNumberFormat="0" applyAlignment="0" applyProtection="0"/>
    <xf numFmtId="0" fontId="9" fillId="7" borderId="203" applyNumberFormat="0" applyAlignment="0" applyProtection="0"/>
    <xf numFmtId="0" fontId="6" fillId="20" borderId="195" applyNumberFormat="0" applyAlignment="0" applyProtection="0"/>
    <xf numFmtId="0" fontId="9" fillId="7" borderId="199" applyNumberFormat="0" applyAlignment="0" applyProtection="0"/>
    <xf numFmtId="0" fontId="19" fillId="0" borderId="198" applyNumberFormat="0" applyFill="0" applyAlignment="0" applyProtection="0"/>
    <xf numFmtId="0" fontId="6" fillId="20" borderId="195" applyNumberFormat="0" applyAlignment="0" applyProtection="0"/>
    <xf numFmtId="0" fontId="6" fillId="20" borderId="195" applyNumberFormat="0" applyAlignment="0" applyProtection="0"/>
    <xf numFmtId="0" fontId="8" fillId="21" borderId="196" applyNumberFormat="0" applyFont="0" applyAlignment="0" applyProtection="0"/>
    <xf numFmtId="0" fontId="13" fillId="20" borderId="197" applyNumberFormat="0" applyAlignment="0" applyProtection="0"/>
    <xf numFmtId="0" fontId="19" fillId="0" borderId="198" applyNumberFormat="0" applyFill="0" applyAlignment="0" applyProtection="0"/>
    <xf numFmtId="0" fontId="6" fillId="20" borderId="195" applyNumberFormat="0" applyAlignment="0" applyProtection="0"/>
    <xf numFmtId="0" fontId="13" fillId="20" borderId="197" applyNumberFormat="0" applyAlignment="0" applyProtection="0"/>
    <xf numFmtId="0" fontId="19" fillId="0" borderId="198" applyNumberFormat="0" applyFill="0" applyAlignment="0" applyProtection="0"/>
    <xf numFmtId="0" fontId="8" fillId="21" borderId="196" applyNumberFormat="0" applyFont="0" applyAlignment="0" applyProtection="0"/>
    <xf numFmtId="0" fontId="19" fillId="0" borderId="198" applyNumberFormat="0" applyFill="0" applyAlignment="0" applyProtection="0"/>
    <xf numFmtId="0" fontId="9" fillId="7" borderId="195" applyNumberFormat="0" applyAlignment="0" applyProtection="0"/>
    <xf numFmtId="0" fontId="6" fillId="20" borderId="195" applyNumberFormat="0" applyAlignment="0" applyProtection="0"/>
    <xf numFmtId="0" fontId="6" fillId="20" borderId="195" applyNumberFormat="0" applyAlignment="0" applyProtection="0"/>
    <xf numFmtId="0" fontId="6" fillId="20" borderId="195" applyNumberFormat="0" applyAlignment="0" applyProtection="0"/>
    <xf numFmtId="0" fontId="19" fillId="0" borderId="198" applyNumberFormat="0" applyFill="0" applyAlignment="0" applyProtection="0"/>
    <xf numFmtId="0" fontId="9" fillId="7" borderId="195" applyNumberFormat="0" applyAlignment="0" applyProtection="0"/>
    <xf numFmtId="0" fontId="8" fillId="21" borderId="196" applyNumberFormat="0" applyFont="0" applyAlignment="0" applyProtection="0"/>
    <xf numFmtId="0" fontId="9" fillId="7" borderId="199" applyNumberFormat="0" applyAlignment="0" applyProtection="0"/>
    <xf numFmtId="0" fontId="6" fillId="20" borderId="195" applyNumberFormat="0" applyAlignment="0" applyProtection="0"/>
    <xf numFmtId="0" fontId="8" fillId="21" borderId="196" applyNumberFormat="0" applyFont="0" applyAlignment="0" applyProtection="0"/>
    <xf numFmtId="0" fontId="8" fillId="21" borderId="196" applyNumberFormat="0" applyFont="0" applyAlignment="0" applyProtection="0"/>
    <xf numFmtId="0" fontId="8" fillId="21" borderId="200" applyNumberFormat="0" applyFont="0" applyAlignment="0" applyProtection="0"/>
    <xf numFmtId="0" fontId="8" fillId="21" borderId="204" applyNumberFormat="0" applyFont="0" applyAlignment="0" applyProtection="0"/>
    <xf numFmtId="0" fontId="6" fillId="20" borderId="203" applyNumberFormat="0" applyAlignment="0" applyProtection="0"/>
    <xf numFmtId="0" fontId="6" fillId="20" borderId="199" applyNumberFormat="0" applyAlignment="0" applyProtection="0"/>
    <xf numFmtId="0" fontId="13" fillId="20" borderId="201" applyNumberFormat="0" applyAlignment="0" applyProtection="0"/>
    <xf numFmtId="0" fontId="6" fillId="20" borderId="199" applyNumberFormat="0" applyAlignment="0" applyProtection="0"/>
    <xf numFmtId="0" fontId="6" fillId="20" borderId="199" applyNumberFormat="0" applyAlignment="0" applyProtection="0"/>
    <xf numFmtId="0" fontId="9" fillId="7" borderId="199" applyNumberFormat="0" applyAlignment="0" applyProtection="0"/>
    <xf numFmtId="0" fontId="19" fillId="0" borderId="202" applyNumberFormat="0" applyFill="0" applyAlignment="0" applyProtection="0"/>
    <xf numFmtId="0" fontId="13" fillId="20" borderId="201" applyNumberFormat="0" applyAlignment="0" applyProtection="0"/>
    <xf numFmtId="0" fontId="9" fillId="7" borderId="203" applyNumberFormat="0" applyAlignment="0" applyProtection="0"/>
    <xf numFmtId="0" fontId="9" fillId="7" borderId="199" applyNumberFormat="0" applyAlignment="0" applyProtection="0"/>
    <xf numFmtId="0" fontId="6" fillId="20" borderId="203" applyNumberFormat="0" applyAlignment="0" applyProtection="0"/>
    <xf numFmtId="0" fontId="13" fillId="20" borderId="201" applyNumberFormat="0" applyAlignment="0" applyProtection="0"/>
    <xf numFmtId="0" fontId="6" fillId="20" borderId="199" applyNumberFormat="0" applyAlignment="0" applyProtection="0"/>
    <xf numFmtId="0" fontId="9" fillId="7" borderId="199" applyNumberFormat="0" applyAlignment="0" applyProtection="0"/>
    <xf numFmtId="0" fontId="19" fillId="0" borderId="202" applyNumberFormat="0" applyFill="0" applyAlignment="0" applyProtection="0"/>
    <xf numFmtId="0" fontId="8" fillId="21" borderId="200" applyNumberFormat="0" applyFont="0" applyAlignment="0" applyProtection="0"/>
    <xf numFmtId="0" fontId="9" fillId="7" borderId="199" applyNumberFormat="0" applyAlignment="0" applyProtection="0"/>
    <xf numFmtId="0" fontId="13" fillId="20" borderId="201" applyNumberFormat="0" applyAlignment="0" applyProtection="0"/>
    <xf numFmtId="0" fontId="9" fillId="7" borderId="199" applyNumberFormat="0" applyAlignment="0" applyProtection="0"/>
    <xf numFmtId="0" fontId="9" fillId="7" borderId="199" applyNumberFormat="0" applyAlignment="0" applyProtection="0"/>
    <xf numFmtId="0" fontId="6" fillId="20" borderId="199" applyNumberFormat="0" applyAlignment="0" applyProtection="0"/>
    <xf numFmtId="0" fontId="19" fillId="0" borderId="202" applyNumberFormat="0" applyFill="0" applyAlignment="0" applyProtection="0"/>
    <xf numFmtId="0" fontId="13" fillId="20" borderId="201" applyNumberFormat="0" applyAlignment="0" applyProtection="0"/>
    <xf numFmtId="0" fontId="13" fillId="20" borderId="201" applyNumberFormat="0" applyAlignment="0" applyProtection="0"/>
    <xf numFmtId="0" fontId="13" fillId="20" borderId="201" applyNumberFormat="0" applyAlignment="0" applyProtection="0"/>
    <xf numFmtId="0" fontId="9" fillId="7" borderId="199" applyNumberFormat="0" applyAlignment="0" applyProtection="0"/>
    <xf numFmtId="0" fontId="13" fillId="20" borderId="201" applyNumberFormat="0" applyAlignment="0" applyProtection="0"/>
    <xf numFmtId="0" fontId="19" fillId="0" borderId="202" applyNumberFormat="0" applyFill="0" applyAlignment="0" applyProtection="0"/>
    <xf numFmtId="0" fontId="6" fillId="20" borderId="199" applyNumberFormat="0" applyAlignment="0" applyProtection="0"/>
    <xf numFmtId="0" fontId="6" fillId="20" borderId="199" applyNumberFormat="0" applyAlignment="0" applyProtection="0"/>
    <xf numFmtId="0" fontId="19" fillId="0" borderId="202" applyNumberFormat="0" applyFill="0" applyAlignment="0" applyProtection="0"/>
    <xf numFmtId="0" fontId="13" fillId="20" borderId="201" applyNumberFormat="0" applyAlignment="0" applyProtection="0"/>
    <xf numFmtId="0" fontId="8" fillId="21" borderId="200" applyNumberFormat="0" applyFont="0" applyAlignment="0" applyProtection="0"/>
    <xf numFmtId="0" fontId="19" fillId="0" borderId="202" applyNumberFormat="0" applyFill="0" applyAlignment="0" applyProtection="0"/>
    <xf numFmtId="0" fontId="8" fillId="21" borderId="200" applyNumberFormat="0" applyFont="0" applyAlignment="0" applyProtection="0"/>
    <xf numFmtId="0" fontId="13" fillId="20" borderId="205" applyNumberFormat="0" applyAlignment="0" applyProtection="0"/>
    <xf numFmtId="0" fontId="8" fillId="21" borderId="200" applyNumberFormat="0" applyFont="0" applyAlignment="0" applyProtection="0"/>
    <xf numFmtId="0" fontId="13" fillId="20" borderId="205" applyNumberFormat="0" applyAlignment="0" applyProtection="0"/>
    <xf numFmtId="0" fontId="9" fillId="7" borderId="199" applyNumberFormat="0" applyAlignment="0" applyProtection="0"/>
    <xf numFmtId="0" fontId="19" fillId="0" borderId="206" applyNumberFormat="0" applyFill="0" applyAlignment="0" applyProtection="0"/>
    <xf numFmtId="0" fontId="6" fillId="20" borderId="199" applyNumberFormat="0" applyAlignment="0" applyProtection="0"/>
    <xf numFmtId="0" fontId="13" fillId="20" borderId="201" applyNumberFormat="0" applyAlignment="0" applyProtection="0"/>
    <xf numFmtId="0" fontId="19" fillId="0" borderId="206" applyNumberFormat="0" applyFill="0" applyAlignment="0" applyProtection="0"/>
    <xf numFmtId="0" fontId="8" fillId="21" borderId="200" applyNumberFormat="0" applyFont="0" applyAlignment="0" applyProtection="0"/>
    <xf numFmtId="0" fontId="8" fillId="21" borderId="200" applyNumberFormat="0" applyFont="0" applyAlignment="0" applyProtection="0"/>
    <xf numFmtId="0" fontId="19" fillId="0" borderId="202" applyNumberFormat="0" applyFill="0" applyAlignment="0" applyProtection="0"/>
    <xf numFmtId="0" fontId="9" fillId="7" borderId="199" applyNumberFormat="0" applyAlignment="0" applyProtection="0"/>
    <xf numFmtId="0" fontId="19" fillId="0" borderId="202" applyNumberFormat="0" applyFill="0" applyAlignment="0" applyProtection="0"/>
    <xf numFmtId="0" fontId="6" fillId="20" borderId="199" applyNumberFormat="0" applyAlignment="0" applyProtection="0"/>
    <xf numFmtId="0" fontId="13" fillId="20" borderId="201" applyNumberFormat="0" applyAlignment="0" applyProtection="0"/>
    <xf numFmtId="0" fontId="9" fillId="7" borderId="199" applyNumberFormat="0" applyAlignment="0" applyProtection="0"/>
    <xf numFmtId="0" fontId="19" fillId="0" borderId="202" applyNumberFormat="0" applyFill="0" applyAlignment="0" applyProtection="0"/>
    <xf numFmtId="0" fontId="6" fillId="20" borderId="199" applyNumberFormat="0" applyAlignment="0" applyProtection="0"/>
    <xf numFmtId="0" fontId="13" fillId="20" borderId="201" applyNumberFormat="0" applyAlignment="0" applyProtection="0"/>
    <xf numFmtId="0" fontId="9" fillId="7" borderId="199" applyNumberFormat="0" applyAlignment="0" applyProtection="0"/>
    <xf numFmtId="0" fontId="19" fillId="0" borderId="202" applyNumberFormat="0" applyFill="0" applyAlignment="0" applyProtection="0"/>
    <xf numFmtId="0" fontId="13" fillId="20" borderId="201" applyNumberFormat="0" applyAlignment="0" applyProtection="0"/>
    <xf numFmtId="0" fontId="19" fillId="0" borderId="202" applyNumberFormat="0" applyFill="0" applyAlignment="0" applyProtection="0"/>
    <xf numFmtId="0" fontId="8" fillId="21" borderId="200" applyNumberFormat="0" applyFont="0" applyAlignment="0" applyProtection="0"/>
    <xf numFmtId="0" fontId="9" fillId="7" borderId="199" applyNumberFormat="0" applyAlignment="0" applyProtection="0"/>
    <xf numFmtId="0" fontId="13" fillId="20" borderId="201" applyNumberFormat="0" applyAlignment="0" applyProtection="0"/>
    <xf numFmtId="0" fontId="8" fillId="21" borderId="200" applyNumberFormat="0" applyFont="0" applyAlignment="0" applyProtection="0"/>
    <xf numFmtId="0" fontId="6" fillId="20" borderId="203" applyNumberFormat="0" applyAlignment="0" applyProtection="0"/>
    <xf numFmtId="0" fontId="8" fillId="21" borderId="200" applyNumberFormat="0" applyFont="0" applyAlignment="0" applyProtection="0"/>
    <xf numFmtId="0" fontId="13" fillId="20" borderId="201" applyNumberFormat="0" applyAlignment="0" applyProtection="0"/>
    <xf numFmtId="0" fontId="6" fillId="20" borderId="199" applyNumberFormat="0" applyAlignment="0" applyProtection="0"/>
    <xf numFmtId="0" fontId="8" fillId="21" borderId="200" applyNumberFormat="0" applyFont="0" applyAlignment="0" applyProtection="0"/>
    <xf numFmtId="0" fontId="9" fillId="7" borderId="199" applyNumberFormat="0" applyAlignment="0" applyProtection="0"/>
    <xf numFmtId="0" fontId="19" fillId="0" borderId="202" applyNumberFormat="0" applyFill="0" applyAlignment="0" applyProtection="0"/>
    <xf numFmtId="0" fontId="13" fillId="20" borderId="205" applyNumberFormat="0" applyAlignment="0" applyProtection="0"/>
    <xf numFmtId="0" fontId="6" fillId="20" borderId="199" applyNumberFormat="0" applyAlignment="0" applyProtection="0"/>
    <xf numFmtId="0" fontId="9" fillId="7" borderId="203" applyNumberFormat="0" applyAlignment="0" applyProtection="0"/>
    <xf numFmtId="0" fontId="19" fillId="0" borderId="202" applyNumberFormat="0" applyFill="0" applyAlignment="0" applyProtection="0"/>
    <xf numFmtId="0" fontId="9" fillId="7" borderId="199" applyNumberFormat="0" applyAlignment="0" applyProtection="0"/>
    <xf numFmtId="0" fontId="8" fillId="21" borderId="200" applyNumberFormat="0" applyFont="0" applyAlignment="0" applyProtection="0"/>
    <xf numFmtId="0" fontId="13" fillId="20" borderId="201" applyNumberFormat="0" applyAlignment="0" applyProtection="0"/>
    <xf numFmtId="0" fontId="13" fillId="20" borderId="201" applyNumberFormat="0" applyAlignment="0" applyProtection="0"/>
    <xf numFmtId="0" fontId="19" fillId="0" borderId="206" applyNumberFormat="0" applyFill="0" applyAlignment="0" applyProtection="0"/>
    <xf numFmtId="0" fontId="13" fillId="20" borderId="201" applyNumberFormat="0" applyAlignment="0" applyProtection="0"/>
    <xf numFmtId="0" fontId="13" fillId="20" borderId="201" applyNumberFormat="0" applyAlignment="0" applyProtection="0"/>
    <xf numFmtId="0" fontId="13" fillId="20" borderId="201" applyNumberFormat="0" applyAlignment="0" applyProtection="0"/>
    <xf numFmtId="0" fontId="8" fillId="21" borderId="200" applyNumberFormat="0" applyFont="0" applyAlignment="0" applyProtection="0"/>
    <xf numFmtId="0" fontId="8" fillId="21" borderId="204" applyNumberFormat="0" applyFont="0" applyAlignment="0" applyProtection="0"/>
    <xf numFmtId="0" fontId="13" fillId="20" borderId="201" applyNumberFormat="0" applyAlignment="0" applyProtection="0"/>
    <xf numFmtId="0" fontId="9" fillId="7" borderId="203" applyNumberFormat="0" applyAlignment="0" applyProtection="0"/>
    <xf numFmtId="0" fontId="6" fillId="20" borderId="199" applyNumberFormat="0" applyAlignment="0" applyProtection="0"/>
    <xf numFmtId="0" fontId="8" fillId="21" borderId="200" applyNumberFormat="0" applyFont="0" applyAlignment="0" applyProtection="0"/>
    <xf numFmtId="0" fontId="13" fillId="20" borderId="201" applyNumberFormat="0" applyAlignment="0" applyProtection="0"/>
    <xf numFmtId="0" fontId="6" fillId="20" borderId="199" applyNumberFormat="0" applyAlignment="0" applyProtection="0"/>
    <xf numFmtId="0" fontId="13" fillId="20" borderId="201" applyNumberFormat="0" applyAlignment="0" applyProtection="0"/>
    <xf numFmtId="0" fontId="9" fillId="7" borderId="203" applyNumberFormat="0" applyAlignment="0" applyProtection="0"/>
    <xf numFmtId="0" fontId="8" fillId="21" borderId="200" applyNumberFormat="0" applyFont="0" applyAlignment="0" applyProtection="0"/>
    <xf numFmtId="0" fontId="8" fillId="21" borderId="200" applyNumberFormat="0" applyFont="0" applyAlignment="0" applyProtection="0"/>
    <xf numFmtId="0" fontId="13" fillId="20" borderId="201" applyNumberFormat="0" applyAlignment="0" applyProtection="0"/>
    <xf numFmtId="0" fontId="19" fillId="0" borderId="206" applyNumberFormat="0" applyFill="0" applyAlignment="0" applyProtection="0"/>
    <xf numFmtId="0" fontId="8" fillId="21" borderId="200" applyNumberFormat="0" applyFont="0" applyAlignment="0" applyProtection="0"/>
    <xf numFmtId="0" fontId="9" fillId="7" borderId="199" applyNumberFormat="0" applyAlignment="0" applyProtection="0"/>
    <xf numFmtId="0" fontId="8" fillId="21" borderId="200" applyNumberFormat="0" applyFont="0" applyAlignment="0" applyProtection="0"/>
    <xf numFmtId="0" fontId="6" fillId="20" borderId="199" applyNumberFormat="0" applyAlignment="0" applyProtection="0"/>
    <xf numFmtId="0" fontId="9" fillId="7" borderId="199" applyNumberFormat="0" applyAlignment="0" applyProtection="0"/>
    <xf numFmtId="0" fontId="13" fillId="20" borderId="201" applyNumberFormat="0" applyAlignment="0" applyProtection="0"/>
    <xf numFmtId="0" fontId="13" fillId="20" borderId="201" applyNumberFormat="0" applyAlignment="0" applyProtection="0"/>
    <xf numFmtId="0" fontId="13" fillId="20" borderId="201" applyNumberFormat="0" applyAlignment="0" applyProtection="0"/>
    <xf numFmtId="0" fontId="9" fillId="7" borderId="199" applyNumberFormat="0" applyAlignment="0" applyProtection="0"/>
    <xf numFmtId="0" fontId="9" fillId="7" borderId="199" applyNumberFormat="0" applyAlignment="0" applyProtection="0"/>
    <xf numFmtId="0" fontId="13" fillId="20" borderId="201" applyNumberFormat="0" applyAlignment="0" applyProtection="0"/>
    <xf numFmtId="0" fontId="13" fillId="20" borderId="201" applyNumberFormat="0" applyAlignment="0" applyProtection="0"/>
    <xf numFmtId="0" fontId="9" fillId="7" borderId="203" applyNumberFormat="0" applyAlignment="0" applyProtection="0"/>
    <xf numFmtId="0" fontId="19" fillId="0" borderId="202" applyNumberFormat="0" applyFill="0" applyAlignment="0" applyProtection="0"/>
    <xf numFmtId="0" fontId="19" fillId="0" borderId="202" applyNumberFormat="0" applyFill="0" applyAlignment="0" applyProtection="0"/>
    <xf numFmtId="0" fontId="13" fillId="20" borderId="201" applyNumberFormat="0" applyAlignment="0" applyProtection="0"/>
    <xf numFmtId="0" fontId="8" fillId="21" borderId="200" applyNumberFormat="0" applyFont="0" applyAlignment="0" applyProtection="0"/>
    <xf numFmtId="0" fontId="19" fillId="0" borderId="202" applyNumberFormat="0" applyFill="0" applyAlignment="0" applyProtection="0"/>
    <xf numFmtId="0" fontId="9" fillId="7" borderId="199" applyNumberFormat="0" applyAlignment="0" applyProtection="0"/>
    <xf numFmtId="0" fontId="6" fillId="20" borderId="199" applyNumberFormat="0" applyAlignment="0" applyProtection="0"/>
    <xf numFmtId="0" fontId="9" fillId="7" borderId="199" applyNumberFormat="0" applyAlignment="0" applyProtection="0"/>
    <xf numFmtId="0" fontId="19" fillId="0" borderId="202" applyNumberFormat="0" applyFill="0" applyAlignment="0" applyProtection="0"/>
    <xf numFmtId="0" fontId="9" fillId="7" borderId="203" applyNumberFormat="0" applyAlignment="0" applyProtection="0"/>
    <xf numFmtId="0" fontId="6" fillId="20" borderId="203" applyNumberFormat="0" applyAlignment="0" applyProtection="0"/>
    <xf numFmtId="0" fontId="8" fillId="21" borderId="200" applyNumberFormat="0" applyFont="0" applyAlignment="0" applyProtection="0"/>
    <xf numFmtId="0" fontId="8" fillId="21" borderId="200" applyNumberFormat="0" applyFont="0" applyAlignment="0" applyProtection="0"/>
    <xf numFmtId="0" fontId="9" fillId="7" borderId="199" applyNumberFormat="0" applyAlignment="0" applyProtection="0"/>
    <xf numFmtId="0" fontId="9" fillId="7" borderId="199" applyNumberFormat="0" applyAlignment="0" applyProtection="0"/>
    <xf numFmtId="0" fontId="19" fillId="0" borderId="202" applyNumberFormat="0" applyFill="0" applyAlignment="0" applyProtection="0"/>
    <xf numFmtId="0" fontId="9" fillId="7" borderId="199" applyNumberFormat="0" applyAlignment="0" applyProtection="0"/>
    <xf numFmtId="0" fontId="6" fillId="20" borderId="203" applyNumberFormat="0" applyAlignment="0" applyProtection="0"/>
    <xf numFmtId="0" fontId="6" fillId="20" borderId="199" applyNumberFormat="0" applyAlignment="0" applyProtection="0"/>
    <xf numFmtId="0" fontId="6" fillId="20" borderId="199" applyNumberFormat="0" applyAlignment="0" applyProtection="0"/>
    <xf numFmtId="0" fontId="8" fillId="21" borderId="200" applyNumberFormat="0" applyFont="0" applyAlignment="0" applyProtection="0"/>
    <xf numFmtId="0" fontId="6" fillId="20" borderId="199" applyNumberFormat="0" applyAlignment="0" applyProtection="0"/>
    <xf numFmtId="0" fontId="9" fillId="7" borderId="199" applyNumberFormat="0" applyAlignment="0" applyProtection="0"/>
    <xf numFmtId="0" fontId="19" fillId="0" borderId="202" applyNumberFormat="0" applyFill="0" applyAlignment="0" applyProtection="0"/>
    <xf numFmtId="0" fontId="19" fillId="0" borderId="202" applyNumberFormat="0" applyFill="0" applyAlignment="0" applyProtection="0"/>
    <xf numFmtId="0" fontId="8" fillId="21" borderId="200" applyNumberFormat="0" applyFont="0" applyAlignment="0" applyProtection="0"/>
    <xf numFmtId="0" fontId="6" fillId="20" borderId="199" applyNumberFormat="0" applyAlignment="0" applyProtection="0"/>
    <xf numFmtId="0" fontId="13" fillId="20" borderId="201" applyNumberFormat="0" applyAlignment="0" applyProtection="0"/>
    <xf numFmtId="0" fontId="8" fillId="21" borderId="204" applyNumberFormat="0" applyFont="0" applyAlignment="0" applyProtection="0"/>
    <xf numFmtId="0" fontId="8" fillId="21" borderId="200" applyNumberFormat="0" applyFont="0" applyAlignment="0" applyProtection="0"/>
    <xf numFmtId="0" fontId="19" fillId="0" borderId="202" applyNumberFormat="0" applyFill="0" applyAlignment="0" applyProtection="0"/>
    <xf numFmtId="0" fontId="9" fillId="7" borderId="199" applyNumberFormat="0" applyAlignment="0" applyProtection="0"/>
    <xf numFmtId="0" fontId="13" fillId="20" borderId="201" applyNumberFormat="0" applyAlignment="0" applyProtection="0"/>
    <xf numFmtId="0" fontId="13" fillId="20" borderId="201" applyNumberFormat="0" applyAlignment="0" applyProtection="0"/>
    <xf numFmtId="0" fontId="9" fillId="7" borderId="199" applyNumberFormat="0" applyAlignment="0" applyProtection="0"/>
    <xf numFmtId="0" fontId="19" fillId="0" borderId="202" applyNumberFormat="0" applyFill="0" applyAlignment="0" applyProtection="0"/>
    <xf numFmtId="0" fontId="8" fillId="21" borderId="204" applyNumberFormat="0" applyFont="0" applyAlignment="0" applyProtection="0"/>
    <xf numFmtId="0" fontId="8" fillId="21" borderId="200" applyNumberFormat="0" applyFont="0" applyAlignment="0" applyProtection="0"/>
    <xf numFmtId="0" fontId="6" fillId="20" borderId="203" applyNumberFormat="0" applyAlignment="0" applyProtection="0"/>
    <xf numFmtId="0" fontId="9" fillId="7" borderId="199" applyNumberFormat="0" applyAlignment="0" applyProtection="0"/>
    <xf numFmtId="0" fontId="19" fillId="0" borderId="202" applyNumberFormat="0" applyFill="0" applyAlignment="0" applyProtection="0"/>
    <xf numFmtId="0" fontId="8" fillId="21" borderId="200" applyNumberFormat="0" applyFont="0" applyAlignment="0" applyProtection="0"/>
    <xf numFmtId="0" fontId="19" fillId="0" borderId="206" applyNumberFormat="0" applyFill="0" applyAlignment="0" applyProtection="0"/>
    <xf numFmtId="0" fontId="9" fillId="7" borderId="199" applyNumberFormat="0" applyAlignment="0" applyProtection="0"/>
    <xf numFmtId="0" fontId="6" fillId="20" borderId="199" applyNumberFormat="0" applyAlignment="0" applyProtection="0"/>
    <xf numFmtId="0" fontId="6" fillId="20" borderId="199" applyNumberFormat="0" applyAlignment="0" applyProtection="0"/>
    <xf numFmtId="0" fontId="19" fillId="0" borderId="202" applyNumberFormat="0" applyFill="0" applyAlignment="0" applyProtection="0"/>
    <xf numFmtId="0" fontId="9" fillId="7" borderId="199" applyNumberFormat="0" applyAlignment="0" applyProtection="0"/>
    <xf numFmtId="0" fontId="9" fillId="7" borderId="199" applyNumberFormat="0" applyAlignment="0" applyProtection="0"/>
    <xf numFmtId="0" fontId="19" fillId="0" borderId="202" applyNumberFormat="0" applyFill="0" applyAlignment="0" applyProtection="0"/>
    <xf numFmtId="0" fontId="9" fillId="7" borderId="199" applyNumberFormat="0" applyAlignment="0" applyProtection="0"/>
    <xf numFmtId="0" fontId="8" fillId="21" borderId="200" applyNumberFormat="0" applyFont="0" applyAlignment="0" applyProtection="0"/>
    <xf numFmtId="0" fontId="19" fillId="0" borderId="202" applyNumberFormat="0" applyFill="0" applyAlignment="0" applyProtection="0"/>
    <xf numFmtId="0" fontId="13" fillId="20" borderId="201" applyNumberFormat="0" applyAlignment="0" applyProtection="0"/>
    <xf numFmtId="0" fontId="9" fillId="7" borderId="199" applyNumberFormat="0" applyAlignment="0" applyProtection="0"/>
    <xf numFmtId="0" fontId="19" fillId="0" borderId="202" applyNumberFormat="0" applyFill="0" applyAlignment="0" applyProtection="0"/>
    <xf numFmtId="0" fontId="8" fillId="21" borderId="200" applyNumberFormat="0" applyFont="0" applyAlignment="0" applyProtection="0"/>
    <xf numFmtId="0" fontId="8" fillId="21" borderId="200" applyNumberFormat="0" applyFont="0" applyAlignment="0" applyProtection="0"/>
    <xf numFmtId="0" fontId="6" fillId="20" borderId="199" applyNumberFormat="0" applyAlignment="0" applyProtection="0"/>
    <xf numFmtId="0" fontId="9" fillId="7" borderId="199" applyNumberFormat="0" applyAlignment="0" applyProtection="0"/>
    <xf numFmtId="0" fontId="19" fillId="0" borderId="202" applyNumberFormat="0" applyFill="0" applyAlignment="0" applyProtection="0"/>
    <xf numFmtId="0" fontId="6" fillId="20" borderId="199" applyNumberFormat="0" applyAlignment="0" applyProtection="0"/>
    <xf numFmtId="0" fontId="13" fillId="20" borderId="205" applyNumberFormat="0" applyAlignment="0" applyProtection="0"/>
    <xf numFmtId="0" fontId="19" fillId="0" borderId="202" applyNumberFormat="0" applyFill="0" applyAlignment="0" applyProtection="0"/>
    <xf numFmtId="0" fontId="13" fillId="20" borderId="205" applyNumberFormat="0" applyAlignment="0" applyProtection="0"/>
    <xf numFmtId="0" fontId="13" fillId="20" borderId="201" applyNumberFormat="0" applyAlignment="0" applyProtection="0"/>
    <xf numFmtId="0" fontId="6" fillId="20" borderId="199" applyNumberFormat="0" applyAlignment="0" applyProtection="0"/>
    <xf numFmtId="0" fontId="19" fillId="0" borderId="206" applyNumberFormat="0" applyFill="0" applyAlignment="0" applyProtection="0"/>
    <xf numFmtId="0" fontId="19" fillId="0" borderId="202" applyNumberFormat="0" applyFill="0" applyAlignment="0" applyProtection="0"/>
    <xf numFmtId="0" fontId="8" fillId="21" borderId="200" applyNumberFormat="0" applyFont="0" applyAlignment="0" applyProtection="0"/>
    <xf numFmtId="0" fontId="9" fillId="7" borderId="199" applyNumberFormat="0" applyAlignment="0" applyProtection="0"/>
    <xf numFmtId="0" fontId="19" fillId="0" borderId="206" applyNumberFormat="0" applyFill="0" applyAlignment="0" applyProtection="0"/>
    <xf numFmtId="0" fontId="13" fillId="20" borderId="201" applyNumberFormat="0" applyAlignment="0" applyProtection="0"/>
    <xf numFmtId="0" fontId="19" fillId="0" borderId="202" applyNumberFormat="0" applyFill="0" applyAlignment="0" applyProtection="0"/>
    <xf numFmtId="0" fontId="13" fillId="20" borderId="201" applyNumberFormat="0" applyAlignment="0" applyProtection="0"/>
    <xf numFmtId="0" fontId="9" fillId="7" borderId="199" applyNumberFormat="0" applyAlignment="0" applyProtection="0"/>
    <xf numFmtId="0" fontId="8" fillId="21" borderId="200" applyNumberFormat="0" applyFont="0" applyAlignment="0" applyProtection="0"/>
    <xf numFmtId="0" fontId="8" fillId="21" borderId="200" applyNumberFormat="0" applyFont="0" applyAlignment="0" applyProtection="0"/>
    <xf numFmtId="0" fontId="19" fillId="0" borderId="202" applyNumberFormat="0" applyFill="0" applyAlignment="0" applyProtection="0"/>
    <xf numFmtId="0" fontId="8" fillId="21" borderId="200" applyNumberFormat="0" applyFont="0" applyAlignment="0" applyProtection="0"/>
    <xf numFmtId="0" fontId="8" fillId="21" borderId="200" applyNumberFormat="0" applyFont="0" applyAlignment="0" applyProtection="0"/>
    <xf numFmtId="0" fontId="19" fillId="0" borderId="202" applyNumberFormat="0" applyFill="0" applyAlignment="0" applyProtection="0"/>
    <xf numFmtId="0" fontId="8" fillId="21" borderId="200" applyNumberFormat="0" applyFont="0" applyAlignment="0" applyProtection="0"/>
    <xf numFmtId="0" fontId="9" fillId="7" borderId="199" applyNumberFormat="0" applyAlignment="0" applyProtection="0"/>
    <xf numFmtId="0" fontId="13" fillId="20" borderId="201" applyNumberFormat="0" applyAlignment="0" applyProtection="0"/>
    <xf numFmtId="0" fontId="6" fillId="20" borderId="199" applyNumberFormat="0" applyAlignment="0" applyProtection="0"/>
    <xf numFmtId="0" fontId="19" fillId="0" borderId="202" applyNumberFormat="0" applyFill="0" applyAlignment="0" applyProtection="0"/>
    <xf numFmtId="0" fontId="6" fillId="20" borderId="199" applyNumberFormat="0" applyAlignment="0" applyProtection="0"/>
    <xf numFmtId="0" fontId="6" fillId="20" borderId="199" applyNumberFormat="0" applyAlignment="0" applyProtection="0"/>
    <xf numFmtId="0" fontId="13" fillId="20" borderId="201" applyNumberFormat="0" applyAlignment="0" applyProtection="0"/>
    <xf numFmtId="0" fontId="9" fillId="7" borderId="199" applyNumberFormat="0" applyAlignment="0" applyProtection="0"/>
    <xf numFmtId="0" fontId="19" fillId="0" borderId="202" applyNumberFormat="0" applyFill="0" applyAlignment="0" applyProtection="0"/>
    <xf numFmtId="0" fontId="9" fillId="7" borderId="199" applyNumberFormat="0" applyAlignment="0" applyProtection="0"/>
    <xf numFmtId="0" fontId="9" fillId="7" borderId="203" applyNumberFormat="0" applyAlignment="0" applyProtection="0"/>
    <xf numFmtId="0" fontId="6" fillId="20" borderId="199" applyNumberFormat="0" applyAlignment="0" applyProtection="0"/>
    <xf numFmtId="0" fontId="19" fillId="0" borderId="206" applyNumberFormat="0" applyFill="0" applyAlignment="0" applyProtection="0"/>
    <xf numFmtId="0" fontId="6" fillId="20" borderId="199" applyNumberFormat="0" applyAlignment="0" applyProtection="0"/>
    <xf numFmtId="0" fontId="13" fillId="20" borderId="201" applyNumberFormat="0" applyAlignment="0" applyProtection="0"/>
    <xf numFmtId="0" fontId="8" fillId="21" borderId="200" applyNumberFormat="0" applyFont="0" applyAlignment="0" applyProtection="0"/>
    <xf numFmtId="0" fontId="19" fillId="0" borderId="202" applyNumberFormat="0" applyFill="0" applyAlignment="0" applyProtection="0"/>
    <xf numFmtId="0" fontId="19" fillId="0" borderId="202" applyNumberFormat="0" applyFill="0" applyAlignment="0" applyProtection="0"/>
    <xf numFmtId="0" fontId="8" fillId="21" borderId="200" applyNumberFormat="0" applyFont="0" applyAlignment="0" applyProtection="0"/>
    <xf numFmtId="0" fontId="6" fillId="20" borderId="199" applyNumberFormat="0" applyAlignment="0" applyProtection="0"/>
    <xf numFmtId="0" fontId="19" fillId="0" borderId="206" applyNumberFormat="0" applyFill="0" applyAlignment="0" applyProtection="0"/>
    <xf numFmtId="0" fontId="6" fillId="20" borderId="199" applyNumberFormat="0" applyAlignment="0" applyProtection="0"/>
    <xf numFmtId="0" fontId="19" fillId="0" borderId="206" applyNumberFormat="0" applyFill="0" applyAlignment="0" applyProtection="0"/>
    <xf numFmtId="0" fontId="19" fillId="0" borderId="202" applyNumberFormat="0" applyFill="0" applyAlignment="0" applyProtection="0"/>
    <xf numFmtId="0" fontId="6" fillId="20" borderId="199" applyNumberFormat="0" applyAlignment="0" applyProtection="0"/>
    <xf numFmtId="0" fontId="6" fillId="20" borderId="199" applyNumberFormat="0" applyAlignment="0" applyProtection="0"/>
    <xf numFmtId="0" fontId="8" fillId="21" borderId="200" applyNumberFormat="0" applyFont="0" applyAlignment="0" applyProtection="0"/>
    <xf numFmtId="0" fontId="13" fillId="20" borderId="201" applyNumberFormat="0" applyAlignment="0" applyProtection="0"/>
    <xf numFmtId="0" fontId="19" fillId="0" borderId="202" applyNumberFormat="0" applyFill="0" applyAlignment="0" applyProtection="0"/>
    <xf numFmtId="0" fontId="6" fillId="20" borderId="199" applyNumberFormat="0" applyAlignment="0" applyProtection="0"/>
    <xf numFmtId="0" fontId="13" fillId="20" borderId="201" applyNumberFormat="0" applyAlignment="0" applyProtection="0"/>
    <xf numFmtId="0" fontId="19" fillId="0" borderId="202" applyNumberFormat="0" applyFill="0" applyAlignment="0" applyProtection="0"/>
    <xf numFmtId="0" fontId="8" fillId="21" borderId="200" applyNumberFormat="0" applyFont="0" applyAlignment="0" applyProtection="0"/>
    <xf numFmtId="0" fontId="19" fillId="0" borderId="202" applyNumberFormat="0" applyFill="0" applyAlignment="0" applyProtection="0"/>
    <xf numFmtId="0" fontId="9" fillId="7" borderId="199" applyNumberFormat="0" applyAlignment="0" applyProtection="0"/>
    <xf numFmtId="0" fontId="6" fillId="20" borderId="199" applyNumberFormat="0" applyAlignment="0" applyProtection="0"/>
    <xf numFmtId="0" fontId="6" fillId="20" borderId="199" applyNumberFormat="0" applyAlignment="0" applyProtection="0"/>
    <xf numFmtId="0" fontId="6" fillId="20" borderId="199" applyNumberFormat="0" applyAlignment="0" applyProtection="0"/>
    <xf numFmtId="0" fontId="19" fillId="0" borderId="202" applyNumberFormat="0" applyFill="0" applyAlignment="0" applyProtection="0"/>
    <xf numFmtId="0" fontId="9" fillId="7" borderId="199" applyNumberFormat="0" applyAlignment="0" applyProtection="0"/>
    <xf numFmtId="0" fontId="8" fillId="21" borderId="200" applyNumberFormat="0" applyFont="0" applyAlignment="0" applyProtection="0"/>
    <xf numFmtId="0" fontId="8" fillId="21" borderId="204" applyNumberFormat="0" applyFont="0" applyAlignment="0" applyProtection="0"/>
    <xf numFmtId="0" fontId="6" fillId="20" borderId="199" applyNumberFormat="0" applyAlignment="0" applyProtection="0"/>
    <xf numFmtId="0" fontId="8" fillId="21" borderId="200" applyNumberFormat="0" applyFont="0" applyAlignment="0" applyProtection="0"/>
    <xf numFmtId="0" fontId="8" fillId="21" borderId="200" applyNumberFormat="0" applyFont="0" applyAlignment="0" applyProtection="0"/>
    <xf numFmtId="0" fontId="8" fillId="21" borderId="204" applyNumberFormat="0" applyFont="0" applyAlignment="0" applyProtection="0"/>
    <xf numFmtId="0" fontId="19" fillId="0" borderId="206" applyNumberFormat="0" applyFill="0" applyAlignment="0" applyProtection="0"/>
    <xf numFmtId="0" fontId="19" fillId="0" borderId="206" applyNumberFormat="0" applyFill="0" applyAlignment="0" applyProtection="0"/>
    <xf numFmtId="0" fontId="8" fillId="21" borderId="204" applyNumberFormat="0" applyFont="0" applyAlignment="0" applyProtection="0"/>
    <xf numFmtId="0" fontId="9" fillId="7" borderId="203" applyNumberFormat="0" applyAlignment="0" applyProtection="0"/>
    <xf numFmtId="0" fontId="6" fillId="20" borderId="203" applyNumberFormat="0" applyAlignment="0" applyProtection="0"/>
    <xf numFmtId="0" fontId="9" fillId="7" borderId="203" applyNumberFormat="0" applyAlignment="0" applyProtection="0"/>
    <xf numFmtId="0" fontId="19" fillId="0" borderId="214" applyNumberFormat="0" applyFill="0" applyAlignment="0" applyProtection="0"/>
    <xf numFmtId="0" fontId="13" fillId="20" borderId="205" applyNumberFormat="0" applyAlignment="0" applyProtection="0"/>
    <xf numFmtId="0" fontId="8" fillId="21" borderId="204" applyNumberFormat="0" applyFont="0" applyAlignment="0" applyProtection="0"/>
    <xf numFmtId="0" fontId="19" fillId="0" borderId="206" applyNumberFormat="0" applyFill="0" applyAlignment="0" applyProtection="0"/>
    <xf numFmtId="0" fontId="8" fillId="21" borderId="204" applyNumberFormat="0" applyFont="0" applyAlignment="0" applyProtection="0"/>
    <xf numFmtId="0" fontId="19" fillId="0" borderId="206" applyNumberFormat="0" applyFill="0" applyAlignment="0" applyProtection="0"/>
    <xf numFmtId="0" fontId="6" fillId="20" borderId="203" applyNumberFormat="0" applyAlignment="0" applyProtection="0"/>
    <xf numFmtId="0" fontId="19" fillId="0" borderId="206" applyNumberFormat="0" applyFill="0" applyAlignment="0" applyProtection="0"/>
    <xf numFmtId="0" fontId="13" fillId="20" borderId="205" applyNumberFormat="0" applyAlignment="0" applyProtection="0"/>
    <xf numFmtId="0" fontId="13" fillId="20" borderId="205" applyNumberFormat="0" applyAlignment="0" applyProtection="0"/>
    <xf numFmtId="0" fontId="9" fillId="7" borderId="203" applyNumberFormat="0" applyAlignment="0" applyProtection="0"/>
    <xf numFmtId="0" fontId="9" fillId="7" borderId="203" applyNumberFormat="0" applyAlignment="0" applyProtection="0"/>
    <xf numFmtId="0" fontId="6" fillId="20" borderId="203" applyNumberFormat="0" applyAlignment="0" applyProtection="0"/>
    <xf numFmtId="0" fontId="13" fillId="20" borderId="205" applyNumberFormat="0" applyAlignment="0" applyProtection="0"/>
    <xf numFmtId="0" fontId="6" fillId="20" borderId="211" applyNumberFormat="0" applyAlignment="0" applyProtection="0"/>
    <xf numFmtId="0" fontId="9" fillId="7" borderId="203" applyNumberFormat="0" applyAlignment="0" applyProtection="0"/>
    <xf numFmtId="0" fontId="8" fillId="21" borderId="204" applyNumberFormat="0" applyFont="0" applyAlignment="0" applyProtection="0"/>
    <xf numFmtId="0" fontId="9" fillId="7" borderId="203" applyNumberFormat="0" applyAlignment="0" applyProtection="0"/>
    <xf numFmtId="0" fontId="13" fillId="20" borderId="205" applyNumberFormat="0" applyAlignment="0" applyProtection="0"/>
    <xf numFmtId="0" fontId="19" fillId="0" borderId="214" applyNumberFormat="0" applyFill="0" applyAlignment="0" applyProtection="0"/>
    <xf numFmtId="0" fontId="6" fillId="20" borderId="203" applyNumberFormat="0" applyAlignment="0" applyProtection="0"/>
    <xf numFmtId="0" fontId="9" fillId="7" borderId="203" applyNumberFormat="0" applyAlignment="0" applyProtection="0"/>
    <xf numFmtId="0" fontId="6" fillId="20" borderId="203" applyNumberFormat="0" applyAlignment="0" applyProtection="0"/>
    <xf numFmtId="0" fontId="9" fillId="7" borderId="211" applyNumberFormat="0" applyAlignment="0" applyProtection="0"/>
    <xf numFmtId="0" fontId="13" fillId="20" borderId="205" applyNumberFormat="0" applyAlignment="0" applyProtection="0"/>
    <xf numFmtId="0" fontId="13" fillId="20" borderId="205" applyNumberFormat="0" applyAlignment="0" applyProtection="0"/>
    <xf numFmtId="0" fontId="6" fillId="20" borderId="203" applyNumberFormat="0" applyAlignment="0" applyProtection="0"/>
    <xf numFmtId="0" fontId="8" fillId="21" borderId="204" applyNumberFormat="0" applyFont="0" applyAlignment="0" applyProtection="0"/>
    <xf numFmtId="0" fontId="6" fillId="20" borderId="211" applyNumberFormat="0" applyAlignment="0" applyProtection="0"/>
    <xf numFmtId="0" fontId="19" fillId="0" borderId="206" applyNumberFormat="0" applyFill="0" applyAlignment="0" applyProtection="0"/>
    <xf numFmtId="0" fontId="19" fillId="0" borderId="206" applyNumberFormat="0" applyFill="0" applyAlignment="0" applyProtection="0"/>
    <xf numFmtId="0" fontId="9" fillId="7" borderId="203" applyNumberFormat="0" applyAlignment="0" applyProtection="0"/>
    <xf numFmtId="0" fontId="19" fillId="0" borderId="206" applyNumberFormat="0" applyFill="0" applyAlignment="0" applyProtection="0"/>
    <xf numFmtId="0" fontId="8" fillId="21" borderId="212" applyNumberFormat="0" applyFont="0" applyAlignment="0" applyProtection="0"/>
    <xf numFmtId="0" fontId="19" fillId="0" borderId="206" applyNumberFormat="0" applyFill="0" applyAlignment="0" applyProtection="0"/>
    <xf numFmtId="0" fontId="8" fillId="21" borderId="204" applyNumberFormat="0" applyFont="0" applyAlignment="0" applyProtection="0"/>
    <xf numFmtId="0" fontId="13" fillId="20" borderId="205" applyNumberFormat="0" applyAlignment="0" applyProtection="0"/>
    <xf numFmtId="0" fontId="19" fillId="0" borderId="206" applyNumberFormat="0" applyFill="0" applyAlignment="0" applyProtection="0"/>
    <xf numFmtId="0" fontId="9" fillId="7" borderId="211" applyNumberFormat="0" applyAlignment="0" applyProtection="0"/>
    <xf numFmtId="0" fontId="19" fillId="0" borderId="214" applyNumberFormat="0" applyFill="0" applyAlignment="0" applyProtection="0"/>
    <xf numFmtId="0" fontId="9" fillId="7" borderId="203" applyNumberFormat="0" applyAlignment="0" applyProtection="0"/>
    <xf numFmtId="0" fontId="6" fillId="20" borderId="203" applyNumberFormat="0" applyAlignment="0" applyProtection="0"/>
    <xf numFmtId="0" fontId="8" fillId="21" borderId="204" applyNumberFormat="0" applyFont="0" applyAlignment="0" applyProtection="0"/>
    <xf numFmtId="0" fontId="8" fillId="21" borderId="204" applyNumberFormat="0" applyFont="0" applyAlignment="0" applyProtection="0"/>
    <xf numFmtId="0" fontId="13" fillId="20" borderId="213" applyNumberFormat="0" applyAlignment="0" applyProtection="0"/>
    <xf numFmtId="0" fontId="6" fillId="20" borderId="203" applyNumberFormat="0" applyAlignment="0" applyProtection="0"/>
    <xf numFmtId="0" fontId="8" fillId="21" borderId="204" applyNumberFormat="0" applyFont="0" applyAlignment="0" applyProtection="0"/>
    <xf numFmtId="0" fontId="19" fillId="0" borderId="214" applyNumberFormat="0" applyFill="0" applyAlignment="0" applyProtection="0"/>
    <xf numFmtId="0" fontId="13" fillId="20" borderId="205" applyNumberFormat="0" applyAlignment="0" applyProtection="0"/>
    <xf numFmtId="0" fontId="8" fillId="21" borderId="212" applyNumberFormat="0" applyFont="0" applyAlignment="0" applyProtection="0"/>
    <xf numFmtId="0" fontId="6" fillId="20" borderId="203" applyNumberFormat="0" applyAlignment="0" applyProtection="0"/>
    <xf numFmtId="0" fontId="13" fillId="20" borderId="205" applyNumberFormat="0" applyAlignment="0" applyProtection="0"/>
    <xf numFmtId="0" fontId="13" fillId="20" borderId="205" applyNumberFormat="0" applyAlignment="0" applyProtection="0"/>
    <xf numFmtId="0" fontId="8" fillId="21" borderId="204" applyNumberFormat="0" applyFont="0" applyAlignment="0" applyProtection="0"/>
    <xf numFmtId="0" fontId="13" fillId="20" borderId="205" applyNumberFormat="0" applyAlignment="0" applyProtection="0"/>
    <xf numFmtId="0" fontId="13" fillId="20" borderId="205" applyNumberFormat="0" applyAlignment="0" applyProtection="0"/>
    <xf numFmtId="0" fontId="19" fillId="0" borderId="206" applyNumberFormat="0" applyFill="0" applyAlignment="0" applyProtection="0"/>
    <xf numFmtId="0" fontId="6" fillId="20" borderId="203" applyNumberFormat="0" applyAlignment="0" applyProtection="0"/>
    <xf numFmtId="0" fontId="8" fillId="21" borderId="204" applyNumberFormat="0" applyFont="0" applyAlignment="0" applyProtection="0"/>
    <xf numFmtId="0" fontId="9" fillId="7" borderId="203" applyNumberFormat="0" applyAlignment="0" applyProtection="0"/>
    <xf numFmtId="0" fontId="8" fillId="21" borderId="204" applyNumberFormat="0" applyFont="0" applyAlignment="0" applyProtection="0"/>
    <xf numFmtId="0" fontId="6" fillId="20" borderId="203" applyNumberFormat="0" applyAlignment="0" applyProtection="0"/>
    <xf numFmtId="0" fontId="8" fillId="21" borderId="204" applyNumberFormat="0" applyFont="0" applyAlignment="0" applyProtection="0"/>
    <xf numFmtId="0" fontId="19" fillId="0" borderId="206" applyNumberFormat="0" applyFill="0" applyAlignment="0" applyProtection="0"/>
    <xf numFmtId="0" fontId="13" fillId="20" borderId="205" applyNumberFormat="0" applyAlignment="0" applyProtection="0"/>
    <xf numFmtId="0" fontId="19" fillId="0" borderId="206" applyNumberFormat="0" applyFill="0" applyAlignment="0" applyProtection="0"/>
    <xf numFmtId="0" fontId="9" fillId="7" borderId="203" applyNumberFormat="0" applyAlignment="0" applyProtection="0"/>
    <xf numFmtId="0" fontId="8" fillId="21" borderId="204" applyNumberFormat="0" applyFont="0" applyAlignment="0" applyProtection="0"/>
    <xf numFmtId="0" fontId="8" fillId="21" borderId="204" applyNumberFormat="0" applyFont="0" applyAlignment="0" applyProtection="0"/>
    <xf numFmtId="0" fontId="9" fillId="7" borderId="203" applyNumberFormat="0" applyAlignment="0" applyProtection="0"/>
    <xf numFmtId="0" fontId="13" fillId="20" borderId="205" applyNumberFormat="0" applyAlignment="0" applyProtection="0"/>
    <xf numFmtId="0" fontId="19" fillId="0" borderId="206" applyNumberFormat="0" applyFill="0" applyAlignment="0" applyProtection="0"/>
    <xf numFmtId="0" fontId="9" fillId="7" borderId="203" applyNumberFormat="0" applyAlignment="0" applyProtection="0"/>
    <xf numFmtId="0" fontId="13" fillId="20" borderId="205" applyNumberFormat="0" applyAlignment="0" applyProtection="0"/>
    <xf numFmtId="0" fontId="8" fillId="21" borderId="204" applyNumberFormat="0" applyFont="0" applyAlignment="0" applyProtection="0"/>
    <xf numFmtId="0" fontId="9" fillId="7" borderId="207" applyNumberFormat="0" applyAlignment="0" applyProtection="0"/>
    <xf numFmtId="0" fontId="19" fillId="0" borderId="206" applyNumberFormat="0" applyFill="0" applyAlignment="0" applyProtection="0"/>
    <xf numFmtId="0" fontId="19" fillId="0" borderId="214" applyNumberFormat="0" applyFill="0" applyAlignment="0" applyProtection="0"/>
    <xf numFmtId="0" fontId="19" fillId="0" borderId="206" applyNumberFormat="0" applyFill="0" applyAlignment="0" applyProtection="0"/>
    <xf numFmtId="0" fontId="9" fillId="7" borderId="203" applyNumberFormat="0" applyAlignment="0" applyProtection="0"/>
    <xf numFmtId="0" fontId="9" fillId="7" borderId="203" applyNumberFormat="0" applyAlignment="0" applyProtection="0"/>
    <xf numFmtId="0" fontId="8" fillId="21" borderId="204" applyNumberFormat="0" applyFont="0" applyAlignment="0" applyProtection="0"/>
    <xf numFmtId="0" fontId="6" fillId="20" borderId="203" applyNumberFormat="0" applyAlignment="0" applyProtection="0"/>
    <xf numFmtId="0" fontId="9" fillId="7" borderId="211" applyNumberFormat="0" applyAlignment="0" applyProtection="0"/>
    <xf numFmtId="0" fontId="13" fillId="20" borderId="205" applyNumberFormat="0" applyAlignment="0" applyProtection="0"/>
    <xf numFmtId="0" fontId="6" fillId="20" borderId="203" applyNumberFormat="0" applyAlignment="0" applyProtection="0"/>
    <xf numFmtId="0" fontId="13" fillId="20" borderId="205" applyNumberFormat="0" applyAlignment="0" applyProtection="0"/>
    <xf numFmtId="0" fontId="19" fillId="0" borderId="206" applyNumberFormat="0" applyFill="0" applyAlignment="0" applyProtection="0"/>
    <xf numFmtId="0" fontId="9" fillId="7" borderId="203" applyNumberFormat="0" applyAlignment="0" applyProtection="0"/>
    <xf numFmtId="0" fontId="9" fillId="7" borderId="211" applyNumberFormat="0" applyAlignment="0" applyProtection="0"/>
    <xf numFmtId="0" fontId="13" fillId="20" borderId="205" applyNumberFormat="0" applyAlignment="0" applyProtection="0"/>
    <xf numFmtId="0" fontId="8" fillId="21" borderId="204" applyNumberFormat="0" applyFont="0" applyAlignment="0" applyProtection="0"/>
    <xf numFmtId="0" fontId="8" fillId="21" borderId="204" applyNumberFormat="0" applyFont="0" applyAlignment="0" applyProtection="0"/>
    <xf numFmtId="0" fontId="8" fillId="21" borderId="204" applyNumberFormat="0" applyFont="0" applyAlignment="0" applyProtection="0"/>
    <xf numFmtId="0" fontId="8" fillId="21" borderId="204" applyNumberFormat="0" applyFont="0" applyAlignment="0" applyProtection="0"/>
    <xf numFmtId="0" fontId="8" fillId="21" borderId="204" applyNumberFormat="0" applyFont="0" applyAlignment="0" applyProtection="0"/>
    <xf numFmtId="0" fontId="13" fillId="20" borderId="213" applyNumberFormat="0" applyAlignment="0" applyProtection="0"/>
    <xf numFmtId="0" fontId="8" fillId="21" borderId="204" applyNumberFormat="0" applyFont="0" applyAlignment="0" applyProtection="0"/>
    <xf numFmtId="0" fontId="6" fillId="20" borderId="203" applyNumberFormat="0" applyAlignment="0" applyProtection="0"/>
    <xf numFmtId="0" fontId="6" fillId="20" borderId="203" applyNumberFormat="0" applyAlignment="0" applyProtection="0"/>
    <xf numFmtId="0" fontId="6" fillId="20" borderId="203" applyNumberFormat="0" applyAlignment="0" applyProtection="0"/>
    <xf numFmtId="0" fontId="19" fillId="0" borderId="206" applyNumberFormat="0" applyFill="0" applyAlignment="0" applyProtection="0"/>
    <xf numFmtId="0" fontId="6" fillId="20" borderId="219" applyNumberFormat="0" applyAlignment="0" applyProtection="0"/>
    <xf numFmtId="0" fontId="9" fillId="7" borderId="211" applyNumberFormat="0" applyAlignment="0" applyProtection="0"/>
    <xf numFmtId="0" fontId="8" fillId="21" borderId="204" applyNumberFormat="0" applyFont="0" applyAlignment="0" applyProtection="0"/>
    <xf numFmtId="0" fontId="13" fillId="20" borderId="205" applyNumberFormat="0" applyAlignment="0" applyProtection="0"/>
    <xf numFmtId="0" fontId="9" fillId="7" borderId="203" applyNumberFormat="0" applyAlignment="0" applyProtection="0"/>
    <xf numFmtId="0" fontId="13" fillId="20" borderId="205" applyNumberFormat="0" applyAlignment="0" applyProtection="0"/>
    <xf numFmtId="0" fontId="9" fillId="7" borderId="211" applyNumberFormat="0" applyAlignment="0" applyProtection="0"/>
    <xf numFmtId="0" fontId="13" fillId="20" borderId="205" applyNumberFormat="0" applyAlignment="0" applyProtection="0"/>
    <xf numFmtId="0" fontId="6" fillId="20" borderId="203" applyNumberFormat="0" applyAlignment="0" applyProtection="0"/>
    <xf numFmtId="0" fontId="19" fillId="0" borderId="206" applyNumberFormat="0" applyFill="0" applyAlignment="0" applyProtection="0"/>
    <xf numFmtId="0" fontId="19" fillId="0" borderId="206" applyNumberFormat="0" applyFill="0" applyAlignment="0" applyProtection="0"/>
    <xf numFmtId="0" fontId="13" fillId="20" borderId="205" applyNumberFormat="0" applyAlignment="0" applyProtection="0"/>
    <xf numFmtId="0" fontId="19" fillId="0" borderId="214" applyNumberFormat="0" applyFill="0" applyAlignment="0" applyProtection="0"/>
    <xf numFmtId="0" fontId="13" fillId="20" borderId="205" applyNumberFormat="0" applyAlignment="0" applyProtection="0"/>
    <xf numFmtId="0" fontId="13" fillId="20" borderId="205" applyNumberFormat="0" applyAlignment="0" applyProtection="0"/>
    <xf numFmtId="0" fontId="13" fillId="20" borderId="205" applyNumberFormat="0" applyAlignment="0" applyProtection="0"/>
    <xf numFmtId="0" fontId="19" fillId="0" borderId="206" applyNumberFormat="0" applyFill="0" applyAlignment="0" applyProtection="0"/>
    <xf numFmtId="0" fontId="19" fillId="0" borderId="214" applyNumberFormat="0" applyFill="0" applyAlignment="0" applyProtection="0"/>
    <xf numFmtId="0" fontId="19" fillId="0" borderId="206" applyNumberFormat="0" applyFill="0" applyAlignment="0" applyProtection="0"/>
    <xf numFmtId="0" fontId="6" fillId="20" borderId="203" applyNumberFormat="0" applyAlignment="0" applyProtection="0"/>
    <xf numFmtId="0" fontId="13" fillId="20" borderId="205" applyNumberFormat="0" applyAlignment="0" applyProtection="0"/>
    <xf numFmtId="0" fontId="6" fillId="20" borderId="203" applyNumberFormat="0" applyAlignment="0" applyProtection="0"/>
    <xf numFmtId="0" fontId="13" fillId="20" borderId="205" applyNumberFormat="0" applyAlignment="0" applyProtection="0"/>
    <xf numFmtId="0" fontId="6" fillId="20" borderId="203" applyNumberFormat="0" applyAlignment="0" applyProtection="0"/>
    <xf numFmtId="0" fontId="13" fillId="20" borderId="205" applyNumberFormat="0" applyAlignment="0" applyProtection="0"/>
    <xf numFmtId="0" fontId="9" fillId="7" borderId="203" applyNumberFormat="0" applyAlignment="0" applyProtection="0"/>
    <xf numFmtId="0" fontId="13" fillId="20" borderId="205" applyNumberFormat="0" applyAlignment="0" applyProtection="0"/>
    <xf numFmtId="0" fontId="8" fillId="21" borderId="204" applyNumberFormat="0" applyFont="0" applyAlignment="0" applyProtection="0"/>
    <xf numFmtId="0" fontId="8" fillId="21" borderId="204" applyNumberFormat="0" applyFont="0" applyAlignment="0" applyProtection="0"/>
    <xf numFmtId="0" fontId="19" fillId="0" borderId="206" applyNumberFormat="0" applyFill="0" applyAlignment="0" applyProtection="0"/>
    <xf numFmtId="0" fontId="9" fillId="7" borderId="203" applyNumberFormat="0" applyAlignment="0" applyProtection="0"/>
    <xf numFmtId="0" fontId="9" fillId="7" borderId="211" applyNumberFormat="0" applyAlignment="0" applyProtection="0"/>
    <xf numFmtId="0" fontId="8" fillId="21" borderId="204" applyNumberFormat="0" applyFont="0" applyAlignment="0" applyProtection="0"/>
    <xf numFmtId="0" fontId="9" fillId="7" borderId="203" applyNumberFormat="0" applyAlignment="0" applyProtection="0"/>
    <xf numFmtId="0" fontId="8" fillId="21" borderId="204" applyNumberFormat="0" applyFont="0" applyAlignment="0" applyProtection="0"/>
    <xf numFmtId="0" fontId="9" fillId="7" borderId="203" applyNumberFormat="0" applyAlignment="0" applyProtection="0"/>
    <xf numFmtId="0" fontId="6" fillId="20" borderId="211" applyNumberFormat="0" applyAlignment="0" applyProtection="0"/>
    <xf numFmtId="0" fontId="19" fillId="0" borderId="206" applyNumberFormat="0" applyFill="0" applyAlignment="0" applyProtection="0"/>
    <xf numFmtId="0" fontId="8" fillId="21" borderId="204" applyNumberFormat="0" applyFont="0" applyAlignment="0" applyProtection="0"/>
    <xf numFmtId="0" fontId="19" fillId="0" borderId="206" applyNumberFormat="0" applyFill="0" applyAlignment="0" applyProtection="0"/>
    <xf numFmtId="0" fontId="9" fillId="7" borderId="203" applyNumberFormat="0" applyAlignment="0" applyProtection="0"/>
    <xf numFmtId="0" fontId="9" fillId="7" borderId="203" applyNumberFormat="0" applyAlignment="0" applyProtection="0"/>
    <xf numFmtId="0" fontId="19" fillId="0" borderId="206" applyNumberFormat="0" applyFill="0" applyAlignment="0" applyProtection="0"/>
    <xf numFmtId="0" fontId="6" fillId="20" borderId="203" applyNumberFormat="0" applyAlignment="0" applyProtection="0"/>
    <xf numFmtId="0" fontId="8" fillId="21" borderId="212" applyNumberFormat="0" applyFont="0" applyAlignment="0" applyProtection="0"/>
    <xf numFmtId="0" fontId="13" fillId="20" borderId="205" applyNumberFormat="0" applyAlignment="0" applyProtection="0"/>
    <xf numFmtId="0" fontId="13" fillId="20" borderId="205" applyNumberFormat="0" applyAlignment="0" applyProtection="0"/>
    <xf numFmtId="0" fontId="8" fillId="21" borderId="204" applyNumberFormat="0" applyFont="0" applyAlignment="0" applyProtection="0"/>
    <xf numFmtId="0" fontId="9" fillId="7" borderId="203" applyNumberFormat="0" applyAlignment="0" applyProtection="0"/>
    <xf numFmtId="0" fontId="13" fillId="20" borderId="205" applyNumberFormat="0" applyAlignment="0" applyProtection="0"/>
    <xf numFmtId="0" fontId="13" fillId="20" borderId="205" applyNumberFormat="0" applyAlignment="0" applyProtection="0"/>
    <xf numFmtId="0" fontId="8" fillId="21" borderId="204" applyNumberFormat="0" applyFont="0" applyAlignment="0" applyProtection="0"/>
    <xf numFmtId="0" fontId="9" fillId="7" borderId="203" applyNumberFormat="0" applyAlignment="0" applyProtection="0"/>
    <xf numFmtId="0" fontId="9" fillId="7" borderId="203" applyNumberFormat="0" applyAlignment="0" applyProtection="0"/>
    <xf numFmtId="0" fontId="13" fillId="20" borderId="213" applyNumberFormat="0" applyAlignment="0" applyProtection="0"/>
    <xf numFmtId="0" fontId="8" fillId="21" borderId="204" applyNumberFormat="0" applyFont="0" applyAlignment="0" applyProtection="0"/>
    <xf numFmtId="0" fontId="6" fillId="20" borderId="203" applyNumberFormat="0" applyAlignment="0" applyProtection="0"/>
    <xf numFmtId="0" fontId="6" fillId="20" borderId="203" applyNumberFormat="0" applyAlignment="0" applyProtection="0"/>
    <xf numFmtId="0" fontId="6" fillId="20" borderId="203" applyNumberFormat="0" applyAlignment="0" applyProtection="0"/>
    <xf numFmtId="0" fontId="6" fillId="20" borderId="207" applyNumberFormat="0" applyAlignment="0" applyProtection="0"/>
    <xf numFmtId="0" fontId="6" fillId="20" borderId="211" applyNumberFormat="0" applyAlignment="0" applyProtection="0"/>
    <xf numFmtId="0" fontId="19" fillId="0" borderId="206" applyNumberFormat="0" applyFill="0" applyAlignment="0" applyProtection="0"/>
    <xf numFmtId="0" fontId="8" fillId="21" borderId="204" applyNumberFormat="0" applyFont="0" applyAlignment="0" applyProtection="0"/>
    <xf numFmtId="0" fontId="19" fillId="0" borderId="206" applyNumberFormat="0" applyFill="0" applyAlignment="0" applyProtection="0"/>
    <xf numFmtId="0" fontId="9" fillId="7" borderId="203" applyNumberFormat="0" applyAlignment="0" applyProtection="0"/>
    <xf numFmtId="0" fontId="8" fillId="21" borderId="208" applyNumberFormat="0" applyFont="0" applyAlignment="0" applyProtection="0"/>
    <xf numFmtId="0" fontId="19" fillId="0" borderId="206" applyNumberFormat="0" applyFill="0" applyAlignment="0" applyProtection="0"/>
    <xf numFmtId="0" fontId="6" fillId="20" borderId="203" applyNumberFormat="0" applyAlignment="0" applyProtection="0"/>
    <xf numFmtId="0" fontId="9" fillId="7" borderId="203" applyNumberFormat="0" applyAlignment="0" applyProtection="0"/>
    <xf numFmtId="0" fontId="6" fillId="20" borderId="203" applyNumberFormat="0" applyAlignment="0" applyProtection="0"/>
    <xf numFmtId="0" fontId="9" fillId="7" borderId="203" applyNumberFormat="0" applyAlignment="0" applyProtection="0"/>
    <xf numFmtId="0" fontId="9" fillId="7" borderId="203" applyNumberFormat="0" applyAlignment="0" applyProtection="0"/>
    <xf numFmtId="0" fontId="13" fillId="20" borderId="205" applyNumberFormat="0" applyAlignment="0" applyProtection="0"/>
    <xf numFmtId="0" fontId="19" fillId="0" borderId="206" applyNumberFormat="0" applyFill="0" applyAlignment="0" applyProtection="0"/>
    <xf numFmtId="0" fontId="9" fillId="7" borderId="203" applyNumberFormat="0" applyAlignment="0" applyProtection="0"/>
    <xf numFmtId="0" fontId="13" fillId="20" borderId="205" applyNumberFormat="0" applyAlignment="0" applyProtection="0"/>
    <xf numFmtId="0" fontId="6" fillId="20" borderId="203" applyNumberFormat="0" applyAlignment="0" applyProtection="0"/>
    <xf numFmtId="0" fontId="6" fillId="20" borderId="203" applyNumberFormat="0" applyAlignment="0" applyProtection="0"/>
    <xf numFmtId="0" fontId="6" fillId="20" borderId="203" applyNumberFormat="0" applyAlignment="0" applyProtection="0"/>
    <xf numFmtId="0" fontId="13" fillId="20" borderId="205" applyNumberFormat="0" applyAlignment="0" applyProtection="0"/>
    <xf numFmtId="0" fontId="9" fillId="7" borderId="203" applyNumberFormat="0" applyAlignment="0" applyProtection="0"/>
    <xf numFmtId="0" fontId="13" fillId="20" borderId="205" applyNumberFormat="0" applyAlignment="0" applyProtection="0"/>
    <xf numFmtId="0" fontId="8" fillId="21" borderId="204" applyNumberFormat="0" applyFont="0" applyAlignment="0" applyProtection="0"/>
    <xf numFmtId="0" fontId="6" fillId="20" borderId="203" applyNumberFormat="0" applyAlignment="0" applyProtection="0"/>
    <xf numFmtId="0" fontId="6" fillId="20" borderId="203" applyNumberFormat="0" applyAlignment="0" applyProtection="0"/>
    <xf numFmtId="0" fontId="8" fillId="21" borderId="204" applyNumberFormat="0" applyFont="0" applyAlignment="0" applyProtection="0"/>
    <xf numFmtId="0" fontId="9" fillId="7" borderId="203" applyNumberFormat="0" applyAlignment="0" applyProtection="0"/>
    <xf numFmtId="0" fontId="13" fillId="20" borderId="205" applyNumberFormat="0" applyAlignment="0" applyProtection="0"/>
    <xf numFmtId="0" fontId="13" fillId="20" borderId="205" applyNumberFormat="0" applyAlignment="0" applyProtection="0"/>
    <xf numFmtId="0" fontId="9" fillId="7" borderId="203" applyNumberFormat="0" applyAlignment="0" applyProtection="0"/>
    <xf numFmtId="0" fontId="6" fillId="20" borderId="203" applyNumberFormat="0" applyAlignment="0" applyProtection="0"/>
    <xf numFmtId="0" fontId="19" fillId="0" borderId="214" applyNumberFormat="0" applyFill="0" applyAlignment="0" applyProtection="0"/>
    <xf numFmtId="0" fontId="19" fillId="0" borderId="206" applyNumberFormat="0" applyFill="0" applyAlignment="0" applyProtection="0"/>
    <xf numFmtId="0" fontId="6" fillId="20" borderId="203" applyNumberFormat="0" applyAlignment="0" applyProtection="0"/>
    <xf numFmtId="0" fontId="19" fillId="0" borderId="206" applyNumberFormat="0" applyFill="0" applyAlignment="0" applyProtection="0"/>
    <xf numFmtId="0" fontId="8" fillId="21" borderId="204" applyNumberFormat="0" applyFont="0" applyAlignment="0" applyProtection="0"/>
    <xf numFmtId="0" fontId="8" fillId="21" borderId="204" applyNumberFormat="0" applyFont="0" applyAlignment="0" applyProtection="0"/>
    <xf numFmtId="0" fontId="6" fillId="20" borderId="203" applyNumberFormat="0" applyAlignment="0" applyProtection="0"/>
    <xf numFmtId="0" fontId="8" fillId="21" borderId="204" applyNumberFormat="0" applyFont="0" applyAlignment="0" applyProtection="0"/>
    <xf numFmtId="0" fontId="8" fillId="21" borderId="220" applyNumberFormat="0" applyFont="0" applyAlignment="0" applyProtection="0"/>
    <xf numFmtId="0" fontId="13" fillId="20" borderId="213" applyNumberFormat="0" applyAlignment="0" applyProtection="0"/>
    <xf numFmtId="0" fontId="9" fillId="7" borderId="203" applyNumberFormat="0" applyAlignment="0" applyProtection="0"/>
    <xf numFmtId="0" fontId="19" fillId="0" borderId="206" applyNumberFormat="0" applyFill="0" applyAlignment="0" applyProtection="0"/>
    <xf numFmtId="0" fontId="9" fillId="7" borderId="203" applyNumberFormat="0" applyAlignment="0" applyProtection="0"/>
    <xf numFmtId="0" fontId="19" fillId="0" borderId="206" applyNumberFormat="0" applyFill="0" applyAlignment="0" applyProtection="0"/>
    <xf numFmtId="0" fontId="6" fillId="20" borderId="203" applyNumberFormat="0" applyAlignment="0" applyProtection="0"/>
    <xf numFmtId="0" fontId="9" fillId="7" borderId="203" applyNumberFormat="0" applyAlignment="0" applyProtection="0"/>
    <xf numFmtId="0" fontId="6" fillId="20" borderId="203" applyNumberFormat="0" applyAlignment="0" applyProtection="0"/>
    <xf numFmtId="0" fontId="6" fillId="20" borderId="203" applyNumberFormat="0" applyAlignment="0" applyProtection="0"/>
    <xf numFmtId="0" fontId="6" fillId="20" borderId="203" applyNumberFormat="0" applyAlignment="0" applyProtection="0"/>
    <xf numFmtId="0" fontId="9" fillId="7" borderId="203" applyNumberFormat="0" applyAlignment="0" applyProtection="0"/>
    <xf numFmtId="0" fontId="6" fillId="20" borderId="203" applyNumberFormat="0" applyAlignment="0" applyProtection="0"/>
    <xf numFmtId="0" fontId="6" fillId="20" borderId="211" applyNumberFormat="0" applyAlignment="0" applyProtection="0"/>
    <xf numFmtId="0" fontId="6" fillId="20" borderId="203" applyNumberFormat="0" applyAlignment="0" applyProtection="0"/>
    <xf numFmtId="0" fontId="8" fillId="21" borderId="204" applyNumberFormat="0" applyFont="0" applyAlignment="0" applyProtection="0"/>
    <xf numFmtId="0" fontId="19" fillId="0" borderId="206" applyNumberFormat="0" applyFill="0" applyAlignment="0" applyProtection="0"/>
    <xf numFmtId="0" fontId="8" fillId="21" borderId="204" applyNumberFormat="0" applyFont="0" applyAlignment="0" applyProtection="0"/>
    <xf numFmtId="0" fontId="13" fillId="20" borderId="205" applyNumberFormat="0" applyAlignment="0" applyProtection="0"/>
    <xf numFmtId="0" fontId="8" fillId="21" borderId="212" applyNumberFormat="0" applyFont="0" applyAlignment="0" applyProtection="0"/>
    <xf numFmtId="0" fontId="19" fillId="0" borderId="206" applyNumberFormat="0" applyFill="0" applyAlignment="0" applyProtection="0"/>
    <xf numFmtId="0" fontId="9" fillId="7" borderId="203" applyNumberFormat="0" applyAlignment="0" applyProtection="0"/>
    <xf numFmtId="0" fontId="9" fillId="7" borderId="203" applyNumberFormat="0" applyAlignment="0" applyProtection="0"/>
    <xf numFmtId="0" fontId="19" fillId="0" borderId="206" applyNumberFormat="0" applyFill="0" applyAlignment="0" applyProtection="0"/>
    <xf numFmtId="0" fontId="13" fillId="20" borderId="205" applyNumberFormat="0" applyAlignment="0" applyProtection="0"/>
    <xf numFmtId="0" fontId="13" fillId="20" borderId="213" applyNumberFormat="0" applyAlignment="0" applyProtection="0"/>
    <xf numFmtId="0" fontId="8" fillId="21" borderId="204" applyNumberFormat="0" applyFont="0" applyAlignment="0" applyProtection="0"/>
    <xf numFmtId="0" fontId="13" fillId="20" borderId="209" applyNumberFormat="0" applyAlignment="0" applyProtection="0"/>
    <xf numFmtId="0" fontId="8" fillId="21" borderId="212" applyNumberFormat="0" applyFont="0" applyAlignment="0" applyProtection="0"/>
    <xf numFmtId="0" fontId="8" fillId="21" borderId="212" applyNumberFormat="0" applyFont="0" applyAlignment="0" applyProtection="0"/>
    <xf numFmtId="0" fontId="13" fillId="20" borderId="213" applyNumberFormat="0" applyAlignment="0" applyProtection="0"/>
    <xf numFmtId="0" fontId="19" fillId="0" borderId="214" applyNumberFormat="0" applyFill="0" applyAlignment="0" applyProtection="0"/>
    <xf numFmtId="0" fontId="19" fillId="0" borderId="214" applyNumberFormat="0" applyFill="0" applyAlignment="0" applyProtection="0"/>
    <xf numFmtId="0" fontId="6" fillId="20" borderId="211" applyNumberFormat="0" applyAlignment="0" applyProtection="0"/>
    <xf numFmtId="0" fontId="19" fillId="0" borderId="210" applyNumberFormat="0" applyFill="0" applyAlignment="0" applyProtection="0"/>
    <xf numFmtId="0" fontId="19" fillId="0" borderId="214"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9" fillId="7" borderId="207" applyNumberFormat="0" applyAlignment="0" applyProtection="0"/>
    <xf numFmtId="0" fontId="8" fillId="21" borderId="208" applyNumberFormat="0" applyFont="0" applyAlignment="0" applyProtection="0"/>
    <xf numFmtId="0" fontId="6" fillId="20" borderId="207" applyNumberFormat="0" applyAlignment="0" applyProtection="0"/>
    <xf numFmtId="0" fontId="9" fillId="7" borderId="207" applyNumberFormat="0" applyAlignment="0" applyProtection="0"/>
    <xf numFmtId="0" fontId="8" fillId="21" borderId="208" applyNumberFormat="0" applyFont="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3" fillId="20" borderId="209" applyNumberFormat="0" applyAlignment="0" applyProtection="0"/>
    <xf numFmtId="0" fontId="13" fillId="20" borderId="209" applyNumberFormat="0" applyAlignment="0" applyProtection="0"/>
    <xf numFmtId="0" fontId="13" fillId="20" borderId="209" applyNumberFormat="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6" fillId="20" borderId="207" applyNumberFormat="0" applyAlignment="0" applyProtection="0"/>
    <xf numFmtId="0" fontId="13" fillId="20" borderId="209" applyNumberFormat="0" applyAlignment="0" applyProtection="0"/>
    <xf numFmtId="0" fontId="8" fillId="21" borderId="208" applyNumberFormat="0" applyFont="0" applyAlignment="0" applyProtection="0"/>
    <xf numFmtId="0" fontId="9" fillId="7" borderId="207" applyNumberFormat="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9" fillId="7" borderId="207" applyNumberFormat="0" applyAlignment="0" applyProtection="0"/>
    <xf numFmtId="0" fontId="13" fillId="20" borderId="209"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9" fillId="7" borderId="207" applyNumberFormat="0" applyAlignment="0" applyProtection="0"/>
    <xf numFmtId="0" fontId="8" fillId="21" borderId="208" applyNumberFormat="0" applyFont="0" applyAlignment="0" applyProtection="0"/>
    <xf numFmtId="0" fontId="8" fillId="21" borderId="208" applyNumberFormat="0" applyFont="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9" fillId="7" borderId="207" applyNumberFormat="0" applyAlignment="0" applyProtection="0"/>
    <xf numFmtId="0" fontId="8" fillId="21" borderId="208" applyNumberFormat="0" applyFont="0" applyAlignment="0" applyProtection="0"/>
    <xf numFmtId="0" fontId="13" fillId="20" borderId="209" applyNumberForma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3" fillId="20" borderId="209" applyNumberFormat="0" applyAlignment="0" applyProtection="0"/>
    <xf numFmtId="0" fontId="19" fillId="0" borderId="210" applyNumberFormat="0" applyFill="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6" fillId="20" borderId="211"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9" fillId="7" borderId="207" applyNumberFormat="0" applyAlignment="0" applyProtection="0"/>
    <xf numFmtId="0" fontId="8" fillId="21" borderId="208" applyNumberFormat="0" applyFont="0" applyAlignment="0" applyProtection="0"/>
    <xf numFmtId="0" fontId="6" fillId="20" borderId="207" applyNumberFormat="0" applyAlignment="0" applyProtection="0"/>
    <xf numFmtId="0" fontId="9" fillId="7" borderId="207" applyNumberFormat="0" applyAlignment="0" applyProtection="0"/>
    <xf numFmtId="0" fontId="8" fillId="21" borderId="208" applyNumberFormat="0" applyFont="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3" fillId="20" borderId="209" applyNumberFormat="0" applyAlignment="0" applyProtection="0"/>
    <xf numFmtId="0" fontId="13" fillId="20" borderId="209" applyNumberFormat="0" applyAlignment="0" applyProtection="0"/>
    <xf numFmtId="0" fontId="13" fillId="20" borderId="209" applyNumberFormat="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6" fillId="20" borderId="207" applyNumberFormat="0" applyAlignment="0" applyProtection="0"/>
    <xf numFmtId="0" fontId="13" fillId="20" borderId="209" applyNumberFormat="0" applyAlignment="0" applyProtection="0"/>
    <xf numFmtId="0" fontId="8" fillId="21" borderId="208" applyNumberFormat="0" applyFont="0" applyAlignment="0" applyProtection="0"/>
    <xf numFmtId="0" fontId="9" fillId="7" borderId="207" applyNumberFormat="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9" fillId="7" borderId="207" applyNumberFormat="0" applyAlignment="0" applyProtection="0"/>
    <xf numFmtId="0" fontId="13" fillId="20" borderId="209"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9" fillId="7" borderId="207" applyNumberFormat="0" applyAlignment="0" applyProtection="0"/>
    <xf numFmtId="0" fontId="8" fillId="21" borderId="208" applyNumberFormat="0" applyFont="0" applyAlignment="0" applyProtection="0"/>
    <xf numFmtId="0" fontId="8" fillId="21" borderId="208" applyNumberFormat="0" applyFont="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9" fillId="7" borderId="207" applyNumberFormat="0" applyAlignment="0" applyProtection="0"/>
    <xf numFmtId="0" fontId="8" fillId="21" borderId="208" applyNumberFormat="0" applyFont="0" applyAlignment="0" applyProtection="0"/>
    <xf numFmtId="0" fontId="13" fillId="20" borderId="209" applyNumberForma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3" fillId="20" borderId="209" applyNumberFormat="0" applyAlignment="0" applyProtection="0"/>
    <xf numFmtId="0" fontId="19" fillId="0" borderId="210" applyNumberFormat="0" applyFill="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19" fillId="0" borderId="210" applyNumberFormat="0" applyFill="0" applyAlignment="0" applyProtection="0"/>
    <xf numFmtId="0" fontId="6" fillId="20" borderId="207" applyNumberFormat="0" applyAlignment="0" applyProtection="0"/>
    <xf numFmtId="0" fontId="8" fillId="21" borderId="208" applyNumberFormat="0" applyFont="0" applyAlignment="0" applyProtection="0"/>
    <xf numFmtId="0" fontId="9" fillId="7" borderId="207" applyNumberFormat="0" applyAlignment="0" applyProtection="0"/>
    <xf numFmtId="0" fontId="13" fillId="20" borderId="209" applyNumberFormat="0" applyAlignment="0" applyProtection="0"/>
    <xf numFmtId="0" fontId="19" fillId="0" borderId="210" applyNumberFormat="0" applyFill="0" applyAlignment="0" applyProtection="0"/>
    <xf numFmtId="0" fontId="6" fillId="20" borderId="211" applyNumberFormat="0" applyAlignment="0" applyProtection="0"/>
    <xf numFmtId="0" fontId="9" fillId="7" borderId="211" applyNumberFormat="0" applyAlignment="0" applyProtection="0"/>
    <xf numFmtId="0" fontId="8" fillId="21" borderId="212" applyNumberFormat="0" applyFont="0" applyAlignment="0" applyProtection="0"/>
    <xf numFmtId="0" fontId="19" fillId="0" borderId="214" applyNumberFormat="0" applyFill="0" applyAlignment="0" applyProtection="0"/>
    <xf numFmtId="0" fontId="19" fillId="0" borderId="214" applyNumberFormat="0" applyFill="0" applyAlignment="0" applyProtection="0"/>
    <xf numFmtId="0" fontId="8" fillId="21" borderId="212" applyNumberFormat="0" applyFont="0" applyAlignment="0" applyProtection="0"/>
    <xf numFmtId="0" fontId="9" fillId="7" borderId="211" applyNumberFormat="0" applyAlignment="0" applyProtection="0"/>
    <xf numFmtId="0" fontId="6" fillId="20" borderId="211" applyNumberFormat="0" applyAlignment="0" applyProtection="0"/>
    <xf numFmtId="0" fontId="9" fillId="7" borderId="211" applyNumberFormat="0" applyAlignment="0" applyProtection="0"/>
    <xf numFmtId="0" fontId="13" fillId="20" borderId="221" applyNumberFormat="0" applyAlignment="0" applyProtection="0"/>
    <xf numFmtId="0" fontId="13" fillId="20" borderId="213" applyNumberFormat="0" applyAlignment="0" applyProtection="0"/>
    <xf numFmtId="0" fontId="8" fillId="21" borderId="212" applyNumberFormat="0" applyFont="0" applyAlignment="0" applyProtection="0"/>
    <xf numFmtId="0" fontId="19" fillId="0" borderId="214" applyNumberFormat="0" applyFill="0" applyAlignment="0" applyProtection="0"/>
    <xf numFmtId="0" fontId="8" fillId="21" borderId="212" applyNumberFormat="0" applyFont="0" applyAlignment="0" applyProtection="0"/>
    <xf numFmtId="0" fontId="19" fillId="0" borderId="214" applyNumberFormat="0" applyFill="0" applyAlignment="0" applyProtection="0"/>
    <xf numFmtId="0" fontId="6" fillId="20" borderId="211" applyNumberFormat="0" applyAlignment="0" applyProtection="0"/>
    <xf numFmtId="0" fontId="19" fillId="0" borderId="214" applyNumberFormat="0" applyFill="0" applyAlignment="0" applyProtection="0"/>
    <xf numFmtId="0" fontId="13" fillId="20" borderId="213" applyNumberFormat="0" applyAlignment="0" applyProtection="0"/>
    <xf numFmtId="0" fontId="13" fillId="20" borderId="213" applyNumberFormat="0" applyAlignment="0" applyProtection="0"/>
    <xf numFmtId="0" fontId="9" fillId="7" borderId="211" applyNumberFormat="0" applyAlignment="0" applyProtection="0"/>
    <xf numFmtId="0" fontId="9" fillId="7" borderId="211" applyNumberFormat="0" applyAlignment="0" applyProtection="0"/>
    <xf numFmtId="0" fontId="6" fillId="20" borderId="211" applyNumberFormat="0" applyAlignment="0" applyProtection="0"/>
    <xf numFmtId="0" fontId="13" fillId="20" borderId="213" applyNumberFormat="0" applyAlignment="0" applyProtection="0"/>
    <xf numFmtId="0" fontId="6" fillId="20" borderId="219" applyNumberFormat="0" applyAlignment="0" applyProtection="0"/>
    <xf numFmtId="0" fontId="9" fillId="7" borderId="211" applyNumberFormat="0" applyAlignment="0" applyProtection="0"/>
    <xf numFmtId="0" fontId="8" fillId="21" borderId="212" applyNumberFormat="0" applyFont="0" applyAlignment="0" applyProtection="0"/>
    <xf numFmtId="0" fontId="9" fillId="7" borderId="211" applyNumberFormat="0" applyAlignment="0" applyProtection="0"/>
    <xf numFmtId="0" fontId="13" fillId="20" borderId="213" applyNumberFormat="0" applyAlignment="0" applyProtection="0"/>
    <xf numFmtId="0" fontId="6" fillId="20" borderId="211" applyNumberFormat="0" applyAlignment="0" applyProtection="0"/>
    <xf numFmtId="0" fontId="9" fillId="7" borderId="211" applyNumberFormat="0" applyAlignment="0" applyProtection="0"/>
    <xf numFmtId="0" fontId="6" fillId="20" borderId="211" applyNumberFormat="0" applyAlignment="0" applyProtection="0"/>
    <xf numFmtId="0" fontId="9" fillId="7" borderId="219" applyNumberFormat="0" applyAlignment="0" applyProtection="0"/>
    <xf numFmtId="0" fontId="13" fillId="20" borderId="213" applyNumberFormat="0" applyAlignment="0" applyProtection="0"/>
    <xf numFmtId="0" fontId="13" fillId="20" borderId="213" applyNumberFormat="0" applyAlignment="0" applyProtection="0"/>
    <xf numFmtId="0" fontId="6" fillId="20" borderId="211" applyNumberFormat="0" applyAlignment="0" applyProtection="0"/>
    <xf numFmtId="0" fontId="8" fillId="21" borderId="212" applyNumberFormat="0" applyFont="0" applyAlignment="0" applyProtection="0"/>
    <xf numFmtId="0" fontId="19" fillId="0" borderId="214" applyNumberFormat="0" applyFill="0" applyAlignment="0" applyProtection="0"/>
    <xf numFmtId="0" fontId="19" fillId="0" borderId="214" applyNumberFormat="0" applyFill="0" applyAlignment="0" applyProtection="0"/>
    <xf numFmtId="0" fontId="9" fillId="7" borderId="211" applyNumberFormat="0" applyAlignment="0" applyProtection="0"/>
    <xf numFmtId="0" fontId="19" fillId="0" borderId="214" applyNumberFormat="0" applyFill="0" applyAlignment="0" applyProtection="0"/>
    <xf numFmtId="0" fontId="6" fillId="20" borderId="223" applyNumberFormat="0" applyAlignment="0" applyProtection="0"/>
    <xf numFmtId="0" fontId="19" fillId="0" borderId="214" applyNumberFormat="0" applyFill="0" applyAlignment="0" applyProtection="0"/>
    <xf numFmtId="0" fontId="8" fillId="21" borderId="212" applyNumberFormat="0" applyFont="0" applyAlignment="0" applyProtection="0"/>
    <xf numFmtId="0" fontId="13" fillId="20" borderId="213" applyNumberFormat="0" applyAlignment="0" applyProtection="0"/>
    <xf numFmtId="0" fontId="19" fillId="0" borderId="214" applyNumberFormat="0" applyFill="0" applyAlignment="0" applyProtection="0"/>
    <xf numFmtId="0" fontId="9" fillId="7" borderId="215" applyNumberFormat="0" applyAlignment="0" applyProtection="0"/>
    <xf numFmtId="0" fontId="6" fillId="20" borderId="219" applyNumberFormat="0" applyAlignment="0" applyProtection="0"/>
    <xf numFmtId="0" fontId="9" fillId="7" borderId="211" applyNumberFormat="0" applyAlignment="0" applyProtection="0"/>
    <xf numFmtId="0" fontId="6" fillId="20" borderId="211" applyNumberFormat="0" applyAlignment="0" applyProtection="0"/>
    <xf numFmtId="0" fontId="8" fillId="21" borderId="212" applyNumberFormat="0" applyFont="0" applyAlignment="0" applyProtection="0"/>
    <xf numFmtId="0" fontId="8" fillId="21" borderId="212" applyNumberFormat="0" applyFont="0" applyAlignment="0" applyProtection="0"/>
    <xf numFmtId="0" fontId="9" fillId="7" borderId="223" applyNumberFormat="0" applyAlignment="0" applyProtection="0"/>
    <xf numFmtId="0" fontId="6" fillId="20" borderId="211" applyNumberFormat="0" applyAlignment="0" applyProtection="0"/>
    <xf numFmtId="0" fontId="8" fillId="21" borderId="212" applyNumberFormat="0" applyFont="0" applyAlignment="0" applyProtection="0"/>
    <xf numFmtId="0" fontId="6" fillId="20" borderId="219" applyNumberFormat="0" applyAlignment="0" applyProtection="0"/>
    <xf numFmtId="0" fontId="13" fillId="20" borderId="213" applyNumberFormat="0" applyAlignment="0" applyProtection="0"/>
    <xf numFmtId="0" fontId="6" fillId="20" borderId="211" applyNumberFormat="0" applyAlignment="0" applyProtection="0"/>
    <xf numFmtId="0" fontId="13" fillId="20" borderId="213" applyNumberFormat="0" applyAlignment="0" applyProtection="0"/>
    <xf numFmtId="0" fontId="13" fillId="20" borderId="213" applyNumberFormat="0" applyAlignment="0" applyProtection="0"/>
    <xf numFmtId="0" fontId="8" fillId="21" borderId="212" applyNumberFormat="0" applyFont="0" applyAlignment="0" applyProtection="0"/>
    <xf numFmtId="0" fontId="13" fillId="20" borderId="213" applyNumberFormat="0" applyAlignment="0" applyProtection="0"/>
    <xf numFmtId="0" fontId="13" fillId="20" borderId="213" applyNumberFormat="0" applyAlignment="0" applyProtection="0"/>
    <xf numFmtId="0" fontId="19" fillId="0" borderId="214" applyNumberFormat="0" applyFill="0" applyAlignment="0" applyProtection="0"/>
    <xf numFmtId="0" fontId="6" fillId="20" borderId="211" applyNumberFormat="0" applyAlignment="0" applyProtection="0"/>
    <xf numFmtId="0" fontId="8" fillId="21" borderId="212" applyNumberFormat="0" applyFont="0" applyAlignment="0" applyProtection="0"/>
    <xf numFmtId="0" fontId="9" fillId="7" borderId="211" applyNumberFormat="0" applyAlignment="0" applyProtection="0"/>
    <xf numFmtId="0" fontId="8" fillId="21" borderId="212" applyNumberFormat="0" applyFont="0" applyAlignment="0" applyProtection="0"/>
    <xf numFmtId="0" fontId="6" fillId="20" borderId="211" applyNumberFormat="0" applyAlignment="0" applyProtection="0"/>
    <xf numFmtId="0" fontId="8" fillId="21" borderId="212" applyNumberFormat="0" applyFont="0" applyAlignment="0" applyProtection="0"/>
    <xf numFmtId="0" fontId="19" fillId="0" borderId="214" applyNumberFormat="0" applyFill="0" applyAlignment="0" applyProtection="0"/>
    <xf numFmtId="0" fontId="13" fillId="20" borderId="213" applyNumberFormat="0" applyAlignment="0" applyProtection="0"/>
    <xf numFmtId="0" fontId="19" fillId="0" borderId="214" applyNumberFormat="0" applyFill="0" applyAlignment="0" applyProtection="0"/>
    <xf numFmtId="0" fontId="9" fillId="7" borderId="211" applyNumberFormat="0" applyAlignment="0" applyProtection="0"/>
    <xf numFmtId="0" fontId="8" fillId="21" borderId="212" applyNumberFormat="0" applyFont="0" applyAlignment="0" applyProtection="0"/>
    <xf numFmtId="0" fontId="8" fillId="21" borderId="212" applyNumberFormat="0" applyFont="0" applyAlignment="0" applyProtection="0"/>
    <xf numFmtId="0" fontId="9" fillId="7" borderId="211" applyNumberFormat="0" applyAlignment="0" applyProtection="0"/>
    <xf numFmtId="0" fontId="13" fillId="20" borderId="213" applyNumberFormat="0" applyAlignment="0" applyProtection="0"/>
    <xf numFmtId="0" fontId="19" fillId="0" borderId="214" applyNumberFormat="0" applyFill="0" applyAlignment="0" applyProtection="0"/>
    <xf numFmtId="0" fontId="9" fillId="7" borderId="211" applyNumberFormat="0" applyAlignment="0" applyProtection="0"/>
    <xf numFmtId="0" fontId="13" fillId="20" borderId="213" applyNumberFormat="0" applyAlignment="0" applyProtection="0"/>
    <xf numFmtId="0" fontId="8" fillId="21" borderId="212" applyNumberFormat="0" applyFont="0" applyAlignment="0" applyProtection="0"/>
    <xf numFmtId="0" fontId="19" fillId="0" borderId="214" applyNumberFormat="0" applyFill="0" applyAlignment="0" applyProtection="0"/>
    <xf numFmtId="0" fontId="9" fillId="7" borderId="219" applyNumberFormat="0" applyAlignment="0" applyProtection="0"/>
    <xf numFmtId="0" fontId="19" fillId="0" borderId="214" applyNumberFormat="0" applyFill="0" applyAlignment="0" applyProtection="0"/>
    <xf numFmtId="0" fontId="9" fillId="7" borderId="211" applyNumberFormat="0" applyAlignment="0" applyProtection="0"/>
    <xf numFmtId="0" fontId="9" fillId="7" borderId="211" applyNumberFormat="0" applyAlignment="0" applyProtection="0"/>
    <xf numFmtId="0" fontId="8" fillId="21" borderId="212" applyNumberFormat="0" applyFont="0" applyAlignment="0" applyProtection="0"/>
    <xf numFmtId="0" fontId="6" fillId="20" borderId="211" applyNumberFormat="0" applyAlignment="0" applyProtection="0"/>
    <xf numFmtId="0" fontId="13" fillId="20" borderId="213" applyNumberFormat="0" applyAlignment="0" applyProtection="0"/>
    <xf numFmtId="0" fontId="6" fillId="20" borderId="211" applyNumberFormat="0" applyAlignment="0" applyProtection="0"/>
    <xf numFmtId="0" fontId="13" fillId="20" borderId="213" applyNumberFormat="0" applyAlignment="0" applyProtection="0"/>
    <xf numFmtId="0" fontId="19" fillId="0" borderId="214" applyNumberFormat="0" applyFill="0" applyAlignment="0" applyProtection="0"/>
    <xf numFmtId="0" fontId="9" fillId="7" borderId="211" applyNumberFormat="0" applyAlignment="0" applyProtection="0"/>
    <xf numFmtId="0" fontId="13" fillId="20" borderId="213" applyNumberFormat="0" applyAlignment="0" applyProtection="0"/>
    <xf numFmtId="0" fontId="8" fillId="21" borderId="212" applyNumberFormat="0" applyFont="0" applyAlignment="0" applyProtection="0"/>
    <xf numFmtId="0" fontId="8" fillId="21" borderId="212" applyNumberFormat="0" applyFont="0" applyAlignment="0" applyProtection="0"/>
    <xf numFmtId="0" fontId="8" fillId="21" borderId="212" applyNumberFormat="0" applyFont="0" applyAlignment="0" applyProtection="0"/>
    <xf numFmtId="0" fontId="8" fillId="21" borderId="212" applyNumberFormat="0" applyFont="0" applyAlignment="0" applyProtection="0"/>
    <xf numFmtId="0" fontId="8" fillId="21" borderId="212" applyNumberFormat="0" applyFont="0" applyAlignment="0" applyProtection="0"/>
    <xf numFmtId="0" fontId="6" fillId="20" borderId="223" applyNumberFormat="0" applyAlignment="0" applyProtection="0"/>
    <xf numFmtId="0" fontId="8" fillId="21" borderId="212" applyNumberFormat="0" applyFont="0" applyAlignment="0" applyProtection="0"/>
    <xf numFmtId="0" fontId="6" fillId="20" borderId="211" applyNumberFormat="0" applyAlignment="0" applyProtection="0"/>
    <xf numFmtId="0" fontId="6" fillId="20" borderId="211" applyNumberFormat="0" applyAlignment="0" applyProtection="0"/>
    <xf numFmtId="0" fontId="6" fillId="20" borderId="211" applyNumberFormat="0" applyAlignment="0" applyProtection="0"/>
    <xf numFmtId="0" fontId="19" fillId="0" borderId="214" applyNumberFormat="0" applyFill="0" applyAlignment="0" applyProtection="0"/>
    <xf numFmtId="0" fontId="9" fillId="7" borderId="219" applyNumberFormat="0" applyAlignment="0" applyProtection="0"/>
    <xf numFmtId="0" fontId="8" fillId="21" borderId="220" applyNumberFormat="0" applyFont="0" applyAlignment="0" applyProtection="0"/>
    <xf numFmtId="0" fontId="8" fillId="21" borderId="212" applyNumberFormat="0" applyFont="0" applyAlignment="0" applyProtection="0"/>
    <xf numFmtId="0" fontId="13" fillId="20" borderId="213" applyNumberFormat="0" applyAlignment="0" applyProtection="0"/>
    <xf numFmtId="0" fontId="9" fillId="7" borderId="211" applyNumberFormat="0" applyAlignment="0" applyProtection="0"/>
    <xf numFmtId="0" fontId="13" fillId="20" borderId="213" applyNumberFormat="0" applyAlignment="0" applyProtection="0"/>
    <xf numFmtId="0" fontId="19" fillId="0" borderId="222" applyNumberFormat="0" applyFill="0" applyAlignment="0" applyProtection="0"/>
    <xf numFmtId="0" fontId="13" fillId="20" borderId="213" applyNumberFormat="0" applyAlignment="0" applyProtection="0"/>
    <xf numFmtId="0" fontId="6" fillId="20" borderId="211" applyNumberFormat="0" applyAlignment="0" applyProtection="0"/>
    <xf numFmtId="0" fontId="19" fillId="0" borderId="214" applyNumberFormat="0" applyFill="0" applyAlignment="0" applyProtection="0"/>
    <xf numFmtId="0" fontId="19" fillId="0" borderId="214" applyNumberFormat="0" applyFill="0" applyAlignment="0" applyProtection="0"/>
    <xf numFmtId="0" fontId="13" fillId="20" borderId="213" applyNumberFormat="0" applyAlignment="0" applyProtection="0"/>
    <xf numFmtId="0" fontId="6" fillId="20" borderId="219" applyNumberFormat="0" applyAlignment="0" applyProtection="0"/>
    <xf numFmtId="0" fontId="13" fillId="20" borderId="213" applyNumberFormat="0" applyAlignment="0" applyProtection="0"/>
    <xf numFmtId="0" fontId="13" fillId="20" borderId="213" applyNumberFormat="0" applyAlignment="0" applyProtection="0"/>
    <xf numFmtId="0" fontId="13" fillId="20" borderId="213" applyNumberFormat="0" applyAlignment="0" applyProtection="0"/>
    <xf numFmtId="0" fontId="19" fillId="0" borderId="214" applyNumberFormat="0" applyFill="0" applyAlignment="0" applyProtection="0"/>
    <xf numFmtId="0" fontId="19" fillId="0" borderId="226" applyNumberFormat="0" applyFill="0" applyAlignment="0" applyProtection="0"/>
    <xf numFmtId="0" fontId="19" fillId="0" borderId="214" applyNumberFormat="0" applyFill="0" applyAlignment="0" applyProtection="0"/>
    <xf numFmtId="0" fontId="6" fillId="20" borderId="211" applyNumberFormat="0" applyAlignment="0" applyProtection="0"/>
    <xf numFmtId="0" fontId="13" fillId="20" borderId="213" applyNumberFormat="0" applyAlignment="0" applyProtection="0"/>
    <xf numFmtId="0" fontId="6" fillId="20" borderId="211" applyNumberFormat="0" applyAlignment="0" applyProtection="0"/>
    <xf numFmtId="0" fontId="13" fillId="20" borderId="213" applyNumberFormat="0" applyAlignment="0" applyProtection="0"/>
    <xf numFmtId="0" fontId="6" fillId="20" borderId="211" applyNumberFormat="0" applyAlignment="0" applyProtection="0"/>
    <xf numFmtId="0" fontId="13" fillId="20" borderId="213" applyNumberFormat="0" applyAlignment="0" applyProtection="0"/>
    <xf numFmtId="0" fontId="9" fillId="7" borderId="211" applyNumberFormat="0" applyAlignment="0" applyProtection="0"/>
    <xf numFmtId="0" fontId="13" fillId="20" borderId="213" applyNumberFormat="0" applyAlignment="0" applyProtection="0"/>
    <xf numFmtId="0" fontId="8" fillId="21" borderId="212" applyNumberFormat="0" applyFont="0" applyAlignment="0" applyProtection="0"/>
    <xf numFmtId="0" fontId="8" fillId="21" borderId="212" applyNumberFormat="0" applyFont="0" applyAlignment="0" applyProtection="0"/>
    <xf numFmtId="0" fontId="19" fillId="0" borderId="214" applyNumberFormat="0" applyFill="0" applyAlignment="0" applyProtection="0"/>
    <xf numFmtId="0" fontId="9" fillId="7" borderId="211" applyNumberFormat="0" applyAlignment="0" applyProtection="0"/>
    <xf numFmtId="0" fontId="6" fillId="20" borderId="219" applyNumberFormat="0" applyAlignment="0" applyProtection="0"/>
    <xf numFmtId="0" fontId="8" fillId="21" borderId="212" applyNumberFormat="0" applyFont="0" applyAlignment="0" applyProtection="0"/>
    <xf numFmtId="0" fontId="9" fillId="7" borderId="211" applyNumberFormat="0" applyAlignment="0" applyProtection="0"/>
    <xf numFmtId="0" fontId="8" fillId="21" borderId="212" applyNumberFormat="0" applyFont="0" applyAlignment="0" applyProtection="0"/>
    <xf numFmtId="0" fontId="9" fillId="7" borderId="211" applyNumberFormat="0" applyAlignment="0" applyProtection="0"/>
    <xf numFmtId="0" fontId="6" fillId="20" borderId="215" applyNumberFormat="0" applyAlignment="0" applyProtection="0"/>
    <xf numFmtId="0" fontId="19" fillId="0" borderId="214" applyNumberFormat="0" applyFill="0" applyAlignment="0" applyProtection="0"/>
    <xf numFmtId="0" fontId="8" fillId="21" borderId="212" applyNumberFormat="0" applyFont="0" applyAlignment="0" applyProtection="0"/>
    <xf numFmtId="0" fontId="19" fillId="0" borderId="214" applyNumberFormat="0" applyFill="0" applyAlignment="0" applyProtection="0"/>
    <xf numFmtId="0" fontId="9" fillId="7" borderId="211" applyNumberFormat="0" applyAlignment="0" applyProtection="0"/>
    <xf numFmtId="0" fontId="9" fillId="7" borderId="211" applyNumberFormat="0" applyAlignment="0" applyProtection="0"/>
    <xf numFmtId="0" fontId="19" fillId="0" borderId="214" applyNumberFormat="0" applyFill="0" applyAlignment="0" applyProtection="0"/>
    <xf numFmtId="0" fontId="6" fillId="20" borderId="211" applyNumberFormat="0" applyAlignment="0" applyProtection="0"/>
    <xf numFmtId="0" fontId="8" fillId="21" borderId="216" applyNumberFormat="0" applyFont="0" applyAlignment="0" applyProtection="0"/>
    <xf numFmtId="0" fontId="13" fillId="20" borderId="213" applyNumberFormat="0" applyAlignment="0" applyProtection="0"/>
    <xf numFmtId="0" fontId="13" fillId="20" borderId="213" applyNumberFormat="0" applyAlignment="0" applyProtection="0"/>
    <xf numFmtId="0" fontId="8" fillId="21" borderId="212" applyNumberFormat="0" applyFont="0" applyAlignment="0" applyProtection="0"/>
    <xf numFmtId="0" fontId="9" fillId="7" borderId="211" applyNumberFormat="0" applyAlignment="0" applyProtection="0"/>
    <xf numFmtId="0" fontId="13" fillId="20" borderId="213" applyNumberFormat="0" applyAlignment="0" applyProtection="0"/>
    <xf numFmtId="0" fontId="13" fillId="20" borderId="213" applyNumberFormat="0" applyAlignment="0" applyProtection="0"/>
    <xf numFmtId="0" fontId="8" fillId="21" borderId="212" applyNumberFormat="0" applyFont="0" applyAlignment="0" applyProtection="0"/>
    <xf numFmtId="0" fontId="9" fillId="7" borderId="211" applyNumberFormat="0" applyAlignment="0" applyProtection="0"/>
    <xf numFmtId="0" fontId="9" fillId="7" borderId="211" applyNumberFormat="0" applyAlignment="0" applyProtection="0"/>
    <xf numFmtId="0" fontId="8" fillId="21" borderId="220" applyNumberFormat="0" applyFont="0" applyAlignment="0" applyProtection="0"/>
    <xf numFmtId="0" fontId="9" fillId="7" borderId="219" applyNumberFormat="0" applyAlignment="0" applyProtection="0"/>
    <xf numFmtId="0" fontId="8" fillId="21" borderId="212" applyNumberFormat="0" applyFont="0" applyAlignment="0" applyProtection="0"/>
    <xf numFmtId="0" fontId="6" fillId="20" borderId="211" applyNumberFormat="0" applyAlignment="0" applyProtection="0"/>
    <xf numFmtId="0" fontId="6" fillId="20" borderId="211" applyNumberFormat="0" applyAlignment="0" applyProtection="0"/>
    <xf numFmtId="0" fontId="6" fillId="20" borderId="211" applyNumberFormat="0" applyAlignment="0" applyProtection="0"/>
    <xf numFmtId="0" fontId="19" fillId="0" borderId="222" applyNumberFormat="0" applyFill="0" applyAlignment="0" applyProtection="0"/>
    <xf numFmtId="0" fontId="19" fillId="0" borderId="214" applyNumberFormat="0" applyFill="0" applyAlignment="0" applyProtection="0"/>
    <xf numFmtId="0" fontId="8" fillId="21" borderId="212" applyNumberFormat="0" applyFont="0" applyAlignment="0" applyProtection="0"/>
    <xf numFmtId="0" fontId="19" fillId="0" borderId="214" applyNumberFormat="0" applyFill="0" applyAlignment="0" applyProtection="0"/>
    <xf numFmtId="0" fontId="9" fillId="7" borderId="211" applyNumberFormat="0" applyAlignment="0" applyProtection="0"/>
    <xf numFmtId="0" fontId="13" fillId="20" borderId="217" applyNumberFormat="0" applyAlignment="0" applyProtection="0"/>
    <xf numFmtId="0" fontId="19" fillId="0" borderId="214" applyNumberFormat="0" applyFill="0" applyAlignment="0" applyProtection="0"/>
    <xf numFmtId="0" fontId="6" fillId="20" borderId="211" applyNumberFormat="0" applyAlignment="0" applyProtection="0"/>
    <xf numFmtId="0" fontId="9" fillId="7" borderId="211" applyNumberFormat="0" applyAlignment="0" applyProtection="0"/>
    <xf numFmtId="0" fontId="6" fillId="20" borderId="211" applyNumberFormat="0" applyAlignment="0" applyProtection="0"/>
    <xf numFmtId="0" fontId="9" fillId="7" borderId="211" applyNumberFormat="0" applyAlignment="0" applyProtection="0"/>
    <xf numFmtId="0" fontId="9" fillId="7" borderId="211" applyNumberFormat="0" applyAlignment="0" applyProtection="0"/>
    <xf numFmtId="0" fontId="13" fillId="20" borderId="213" applyNumberFormat="0" applyAlignment="0" applyProtection="0"/>
    <xf numFmtId="0" fontId="19" fillId="0" borderId="214" applyNumberFormat="0" applyFill="0" applyAlignment="0" applyProtection="0"/>
    <xf numFmtId="0" fontId="9" fillId="7" borderId="211" applyNumberFormat="0" applyAlignment="0" applyProtection="0"/>
    <xf numFmtId="0" fontId="13" fillId="20" borderId="213" applyNumberFormat="0" applyAlignment="0" applyProtection="0"/>
    <xf numFmtId="0" fontId="6" fillId="20" borderId="211" applyNumberFormat="0" applyAlignment="0" applyProtection="0"/>
    <xf numFmtId="0" fontId="6" fillId="20" borderId="211" applyNumberFormat="0" applyAlignment="0" applyProtection="0"/>
    <xf numFmtId="0" fontId="6" fillId="20" borderId="211" applyNumberFormat="0" applyAlignment="0" applyProtection="0"/>
    <xf numFmtId="0" fontId="13" fillId="20" borderId="213" applyNumberFormat="0" applyAlignment="0" applyProtection="0"/>
    <xf numFmtId="0" fontId="9" fillId="7" borderId="211" applyNumberFormat="0" applyAlignment="0" applyProtection="0"/>
    <xf numFmtId="0" fontId="13" fillId="20" borderId="213" applyNumberFormat="0" applyAlignment="0" applyProtection="0"/>
    <xf numFmtId="0" fontId="8" fillId="21" borderId="212" applyNumberFormat="0" applyFont="0" applyAlignment="0" applyProtection="0"/>
    <xf numFmtId="0" fontId="6" fillId="20" borderId="211" applyNumberFormat="0" applyAlignment="0" applyProtection="0"/>
    <xf numFmtId="0" fontId="6" fillId="20" borderId="211" applyNumberFormat="0" applyAlignment="0" applyProtection="0"/>
    <xf numFmtId="0" fontId="8" fillId="21" borderId="212" applyNumberFormat="0" applyFont="0" applyAlignment="0" applyProtection="0"/>
    <xf numFmtId="0" fontId="9" fillId="7" borderId="211" applyNumberFormat="0" applyAlignment="0" applyProtection="0"/>
    <xf numFmtId="0" fontId="13" fillId="20" borderId="213" applyNumberFormat="0" applyAlignment="0" applyProtection="0"/>
    <xf numFmtId="0" fontId="13" fillId="20" borderId="213" applyNumberFormat="0" applyAlignment="0" applyProtection="0"/>
    <xf numFmtId="0" fontId="9" fillId="7" borderId="211" applyNumberFormat="0" applyAlignment="0" applyProtection="0"/>
    <xf numFmtId="0" fontId="6" fillId="20" borderId="211" applyNumberFormat="0" applyAlignment="0" applyProtection="0"/>
    <xf numFmtId="0" fontId="19" fillId="0" borderId="214" applyNumberFormat="0" applyFill="0" applyAlignment="0" applyProtection="0"/>
    <xf numFmtId="0" fontId="6" fillId="20" borderId="211" applyNumberFormat="0" applyAlignment="0" applyProtection="0"/>
    <xf numFmtId="0" fontId="19" fillId="0" borderId="214" applyNumberFormat="0" applyFill="0" applyAlignment="0" applyProtection="0"/>
    <xf numFmtId="0" fontId="8" fillId="21" borderId="212" applyNumberFormat="0" applyFont="0" applyAlignment="0" applyProtection="0"/>
    <xf numFmtId="0" fontId="8" fillId="21" borderId="212" applyNumberFormat="0" applyFont="0" applyAlignment="0" applyProtection="0"/>
    <xf numFmtId="0" fontId="6" fillId="20" borderId="211" applyNumberFormat="0" applyAlignment="0" applyProtection="0"/>
    <xf numFmtId="0" fontId="8" fillId="21" borderId="212" applyNumberFormat="0" applyFont="0" applyAlignment="0" applyProtection="0"/>
    <xf numFmtId="0" fontId="8" fillId="21" borderId="220" applyNumberFormat="0" applyFont="0" applyAlignment="0" applyProtection="0"/>
    <xf numFmtId="0" fontId="9" fillId="7" borderId="211" applyNumberFormat="0" applyAlignment="0" applyProtection="0"/>
    <xf numFmtId="0" fontId="19" fillId="0" borderId="214" applyNumberFormat="0" applyFill="0" applyAlignment="0" applyProtection="0"/>
    <xf numFmtId="0" fontId="9" fillId="7" borderId="211" applyNumberFormat="0" applyAlignment="0" applyProtection="0"/>
    <xf numFmtId="0" fontId="19" fillId="0" borderId="214" applyNumberFormat="0" applyFill="0" applyAlignment="0" applyProtection="0"/>
    <xf numFmtId="0" fontId="6" fillId="20" borderId="211" applyNumberFormat="0" applyAlignment="0" applyProtection="0"/>
    <xf numFmtId="0" fontId="19" fillId="0" borderId="222" applyNumberFormat="0" applyFill="0" applyAlignment="0" applyProtection="0"/>
    <xf numFmtId="0" fontId="9" fillId="7" borderId="211" applyNumberFormat="0" applyAlignment="0" applyProtection="0"/>
    <xf numFmtId="0" fontId="6" fillId="20" borderId="211" applyNumberFormat="0" applyAlignment="0" applyProtection="0"/>
    <xf numFmtId="0" fontId="6" fillId="20" borderId="211" applyNumberFormat="0" applyAlignment="0" applyProtection="0"/>
    <xf numFmtId="0" fontId="6" fillId="20" borderId="211" applyNumberFormat="0" applyAlignment="0" applyProtection="0"/>
    <xf numFmtId="0" fontId="9" fillId="7" borderId="211" applyNumberFormat="0" applyAlignment="0" applyProtection="0"/>
    <xf numFmtId="0" fontId="6" fillId="20" borderId="211" applyNumberFormat="0" applyAlignment="0" applyProtection="0"/>
    <xf numFmtId="0" fontId="19" fillId="0" borderId="222" applyNumberFormat="0" applyFill="0" applyAlignment="0" applyProtection="0"/>
    <xf numFmtId="0" fontId="6" fillId="20" borderId="211" applyNumberFormat="0" applyAlignment="0" applyProtection="0"/>
    <xf numFmtId="0" fontId="8" fillId="21" borderId="212" applyNumberFormat="0" applyFont="0" applyAlignment="0" applyProtection="0"/>
    <xf numFmtId="0" fontId="19" fillId="0" borderId="214" applyNumberFormat="0" applyFill="0" applyAlignment="0" applyProtection="0"/>
    <xf numFmtId="0" fontId="8" fillId="21" borderId="212" applyNumberFormat="0" applyFont="0" applyAlignment="0" applyProtection="0"/>
    <xf numFmtId="0" fontId="13" fillId="20" borderId="213" applyNumberFormat="0" applyAlignment="0" applyProtection="0"/>
    <xf numFmtId="0" fontId="9" fillId="7" borderId="219" applyNumberFormat="0" applyAlignment="0" applyProtection="0"/>
    <xf numFmtId="0" fontId="19" fillId="0" borderId="214" applyNumberFormat="0" applyFill="0" applyAlignment="0" applyProtection="0"/>
    <xf numFmtId="0" fontId="9" fillId="7" borderId="211" applyNumberFormat="0" applyAlignment="0" applyProtection="0"/>
    <xf numFmtId="0" fontId="9" fillId="7" borderId="211" applyNumberFormat="0" applyAlignment="0" applyProtection="0"/>
    <xf numFmtId="0" fontId="19" fillId="0" borderId="214" applyNumberFormat="0" applyFill="0" applyAlignment="0" applyProtection="0"/>
    <xf numFmtId="0" fontId="13" fillId="20" borderId="213" applyNumberFormat="0" applyAlignment="0" applyProtection="0"/>
    <xf numFmtId="0" fontId="13" fillId="20" borderId="221" applyNumberFormat="0" applyAlignment="0" applyProtection="0"/>
    <xf numFmtId="0" fontId="8" fillId="21" borderId="212" applyNumberFormat="0" applyFont="0" applyAlignment="0" applyProtection="0"/>
    <xf numFmtId="0" fontId="19" fillId="0" borderId="218" applyNumberFormat="0" applyFill="0" applyAlignment="0" applyProtection="0"/>
    <xf numFmtId="0" fontId="6" fillId="20" borderId="219"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9" fillId="7" borderId="215" applyNumberFormat="0" applyAlignment="0" applyProtection="0"/>
    <xf numFmtId="0" fontId="8" fillId="21" borderId="216" applyNumberFormat="0" applyFont="0" applyAlignment="0" applyProtection="0"/>
    <xf numFmtId="0" fontId="6" fillId="20" borderId="215" applyNumberFormat="0" applyAlignment="0" applyProtection="0"/>
    <xf numFmtId="0" fontId="9" fillId="7" borderId="215" applyNumberFormat="0" applyAlignment="0" applyProtection="0"/>
    <xf numFmtId="0" fontId="8" fillId="21" borderId="216" applyNumberFormat="0" applyFont="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3" fillId="20" borderId="217" applyNumberFormat="0" applyAlignment="0" applyProtection="0"/>
    <xf numFmtId="0" fontId="13" fillId="20" borderId="217" applyNumberFormat="0" applyAlignment="0" applyProtection="0"/>
    <xf numFmtId="0" fontId="13" fillId="20" borderId="217" applyNumberFormat="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6" fillId="20" borderId="215" applyNumberFormat="0" applyAlignment="0" applyProtection="0"/>
    <xf numFmtId="0" fontId="13" fillId="20" borderId="217" applyNumberFormat="0" applyAlignment="0" applyProtection="0"/>
    <xf numFmtId="0" fontId="8" fillId="21" borderId="216" applyNumberFormat="0" applyFont="0" applyAlignment="0" applyProtection="0"/>
    <xf numFmtId="0" fontId="9" fillId="7" borderId="215" applyNumberFormat="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9" fillId="7" borderId="215" applyNumberFormat="0" applyAlignment="0" applyProtection="0"/>
    <xf numFmtId="0" fontId="13" fillId="20" borderId="217"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9" fillId="7" borderId="215" applyNumberFormat="0" applyAlignment="0" applyProtection="0"/>
    <xf numFmtId="0" fontId="8" fillId="21" borderId="216" applyNumberFormat="0" applyFont="0" applyAlignment="0" applyProtection="0"/>
    <xf numFmtId="0" fontId="8" fillId="21" borderId="216" applyNumberFormat="0" applyFont="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9" fillId="7" borderId="215" applyNumberFormat="0" applyAlignment="0" applyProtection="0"/>
    <xf numFmtId="0" fontId="8" fillId="21" borderId="216" applyNumberFormat="0" applyFont="0" applyAlignment="0" applyProtection="0"/>
    <xf numFmtId="0" fontId="13" fillId="20" borderId="217" applyNumberForma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3" fillId="20" borderId="217" applyNumberFormat="0" applyAlignment="0" applyProtection="0"/>
    <xf numFmtId="0" fontId="19" fillId="0" borderId="218" applyNumberFormat="0" applyFill="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6" fillId="20" borderId="219"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9" fillId="7" borderId="215" applyNumberFormat="0" applyAlignment="0" applyProtection="0"/>
    <xf numFmtId="0" fontId="8" fillId="21" borderId="216" applyNumberFormat="0" applyFont="0" applyAlignment="0" applyProtection="0"/>
    <xf numFmtId="0" fontId="6" fillId="20" borderId="215" applyNumberFormat="0" applyAlignment="0" applyProtection="0"/>
    <xf numFmtId="0" fontId="9" fillId="7" borderId="215" applyNumberFormat="0" applyAlignment="0" applyProtection="0"/>
    <xf numFmtId="0" fontId="8" fillId="21" borderId="216" applyNumberFormat="0" applyFont="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3" fillId="20" borderId="217" applyNumberFormat="0" applyAlignment="0" applyProtection="0"/>
    <xf numFmtId="0" fontId="13" fillId="20" borderId="217" applyNumberFormat="0" applyAlignment="0" applyProtection="0"/>
    <xf numFmtId="0" fontId="13" fillId="20" borderId="217" applyNumberFormat="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6" fillId="20" borderId="215" applyNumberFormat="0" applyAlignment="0" applyProtection="0"/>
    <xf numFmtId="0" fontId="13" fillId="20" borderId="217" applyNumberFormat="0" applyAlignment="0" applyProtection="0"/>
    <xf numFmtId="0" fontId="8" fillId="21" borderId="216" applyNumberFormat="0" applyFont="0" applyAlignment="0" applyProtection="0"/>
    <xf numFmtId="0" fontId="9" fillId="7" borderId="215" applyNumberFormat="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9" fillId="7" borderId="215" applyNumberFormat="0" applyAlignment="0" applyProtection="0"/>
    <xf numFmtId="0" fontId="13" fillId="20" borderId="217"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9" fillId="7" borderId="215" applyNumberFormat="0" applyAlignment="0" applyProtection="0"/>
    <xf numFmtId="0" fontId="8" fillId="21" borderId="216" applyNumberFormat="0" applyFont="0" applyAlignment="0" applyProtection="0"/>
    <xf numFmtId="0" fontId="8" fillId="21" borderId="216" applyNumberFormat="0" applyFont="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9" fillId="7" borderId="215" applyNumberFormat="0" applyAlignment="0" applyProtection="0"/>
    <xf numFmtId="0" fontId="8" fillId="21" borderId="216" applyNumberFormat="0" applyFont="0" applyAlignment="0" applyProtection="0"/>
    <xf numFmtId="0" fontId="13" fillId="20" borderId="217" applyNumberForma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3" fillId="20" borderId="217" applyNumberFormat="0" applyAlignment="0" applyProtection="0"/>
    <xf numFmtId="0" fontId="19" fillId="0" borderId="218" applyNumberFormat="0" applyFill="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19" fillId="0" borderId="218" applyNumberFormat="0" applyFill="0" applyAlignment="0" applyProtection="0"/>
    <xf numFmtId="0" fontId="6" fillId="20" borderId="215" applyNumberFormat="0" applyAlignment="0" applyProtection="0"/>
    <xf numFmtId="0" fontId="8" fillId="21" borderId="216" applyNumberFormat="0" applyFont="0" applyAlignment="0" applyProtection="0"/>
    <xf numFmtId="0" fontId="9" fillId="7" borderId="215" applyNumberFormat="0" applyAlignment="0" applyProtection="0"/>
    <xf numFmtId="0" fontId="13" fillId="20" borderId="217" applyNumberFormat="0" applyAlignment="0" applyProtection="0"/>
    <xf numFmtId="0" fontId="19" fillId="0" borderId="218" applyNumberFormat="0" applyFill="0" applyAlignment="0" applyProtection="0"/>
    <xf numFmtId="0" fontId="9" fillId="7" borderId="219" applyNumberFormat="0" applyAlignment="0" applyProtection="0"/>
    <xf numFmtId="0" fontId="19" fillId="0" borderId="222" applyNumberFormat="0" applyFill="0" applyAlignment="0" applyProtection="0"/>
    <xf numFmtId="0" fontId="8" fillId="21" borderId="224" applyNumberFormat="0" applyFont="0" applyAlignment="0" applyProtection="0"/>
    <xf numFmtId="0" fontId="13" fillId="20" borderId="221" applyNumberFormat="0" applyAlignment="0" applyProtection="0"/>
    <xf numFmtId="0" fontId="19" fillId="0" borderId="222" applyNumberFormat="0" applyFill="0" applyAlignment="0" applyProtection="0"/>
    <xf numFmtId="0" fontId="6" fillId="20" borderId="219" applyNumberFormat="0" applyAlignment="0" applyProtection="0"/>
    <xf numFmtId="0" fontId="8" fillId="21" borderId="220" applyNumberFormat="0" applyFont="0" applyAlignment="0" applyProtection="0"/>
    <xf numFmtId="0" fontId="8" fillId="21" borderId="220" applyNumberFormat="0" applyFont="0" applyAlignment="0" applyProtection="0"/>
    <xf numFmtId="0" fontId="8" fillId="21" borderId="224" applyNumberFormat="0" applyFont="0" applyAlignment="0" applyProtection="0"/>
    <xf numFmtId="0" fontId="9" fillId="7" borderId="219" applyNumberFormat="0" applyAlignment="0" applyProtection="0"/>
    <xf numFmtId="0" fontId="13" fillId="20" borderId="221" applyNumberFormat="0" applyAlignment="0" applyProtection="0"/>
    <xf numFmtId="0" fontId="13" fillId="20" borderId="221" applyNumberFormat="0" applyAlignment="0" applyProtection="0"/>
    <xf numFmtId="0" fontId="13" fillId="20" borderId="221" applyNumberFormat="0" applyAlignment="0" applyProtection="0"/>
    <xf numFmtId="0" fontId="9" fillId="7" borderId="219" applyNumberFormat="0" applyAlignment="0" applyProtection="0"/>
    <xf numFmtId="0" fontId="8" fillId="21" borderId="220" applyNumberFormat="0" applyFont="0" applyAlignment="0" applyProtection="0"/>
    <xf numFmtId="0" fontId="6" fillId="20" borderId="231" applyNumberFormat="0" applyAlignment="0" applyProtection="0"/>
    <xf numFmtId="0" fontId="19" fillId="0" borderId="226" applyNumberFormat="0" applyFill="0" applyAlignment="0" applyProtection="0"/>
    <xf numFmtId="0" fontId="6" fillId="20" borderId="219" applyNumberFormat="0" applyAlignment="0" applyProtection="0"/>
    <xf numFmtId="0" fontId="13" fillId="20" borderId="221" applyNumberFormat="0" applyAlignment="0" applyProtection="0"/>
    <xf numFmtId="0" fontId="6" fillId="20" borderId="219" applyNumberFormat="0" applyAlignment="0" applyProtection="0"/>
    <xf numFmtId="0" fontId="6" fillId="20" borderId="219" applyNumberFormat="0" applyAlignment="0" applyProtection="0"/>
    <xf numFmtId="0" fontId="9" fillId="7" borderId="219" applyNumberFormat="0" applyAlignment="0" applyProtection="0"/>
    <xf numFmtId="0" fontId="19" fillId="0" borderId="222" applyNumberFormat="0" applyFill="0" applyAlignment="0" applyProtection="0"/>
    <xf numFmtId="0" fontId="13" fillId="20" borderId="221" applyNumberFormat="0" applyAlignment="0" applyProtection="0"/>
    <xf numFmtId="0" fontId="9" fillId="7" borderId="219" applyNumberFormat="0" applyAlignment="0" applyProtection="0"/>
    <xf numFmtId="0" fontId="13" fillId="20" borderId="225" applyNumberFormat="0" applyAlignment="0" applyProtection="0"/>
    <xf numFmtId="0" fontId="13" fillId="20" borderId="221" applyNumberFormat="0" applyAlignment="0" applyProtection="0"/>
    <xf numFmtId="0" fontId="6" fillId="20" borderId="219" applyNumberFormat="0" applyAlignment="0" applyProtection="0"/>
    <xf numFmtId="0" fontId="9" fillId="7" borderId="219" applyNumberFormat="0" applyAlignment="0" applyProtection="0"/>
    <xf numFmtId="0" fontId="19" fillId="0" borderId="222" applyNumberFormat="0" applyFill="0" applyAlignment="0" applyProtection="0"/>
    <xf numFmtId="0" fontId="8" fillId="21" borderId="220" applyNumberFormat="0" applyFont="0" applyAlignment="0" applyProtection="0"/>
    <xf numFmtId="0" fontId="9" fillId="7" borderId="219" applyNumberFormat="0" applyAlignment="0" applyProtection="0"/>
    <xf numFmtId="0" fontId="13" fillId="20" borderId="221" applyNumberFormat="0" applyAlignment="0" applyProtection="0"/>
    <xf numFmtId="0" fontId="9" fillId="7" borderId="219" applyNumberFormat="0" applyAlignment="0" applyProtection="0"/>
    <xf numFmtId="0" fontId="9" fillId="7" borderId="219" applyNumberFormat="0" applyAlignment="0" applyProtection="0"/>
    <xf numFmtId="0" fontId="6" fillId="20" borderId="219" applyNumberFormat="0" applyAlignment="0" applyProtection="0"/>
    <xf numFmtId="0" fontId="19" fillId="0" borderId="222" applyNumberFormat="0" applyFill="0" applyAlignment="0" applyProtection="0"/>
    <xf numFmtId="0" fontId="13" fillId="20" borderId="221" applyNumberFormat="0" applyAlignment="0" applyProtection="0"/>
    <xf numFmtId="0" fontId="13" fillId="20" borderId="221" applyNumberFormat="0" applyAlignment="0" applyProtection="0"/>
    <xf numFmtId="0" fontId="13" fillId="20" borderId="221" applyNumberFormat="0" applyAlignment="0" applyProtection="0"/>
    <xf numFmtId="0" fontId="9" fillId="7" borderId="219" applyNumberFormat="0" applyAlignment="0" applyProtection="0"/>
    <xf numFmtId="0" fontId="13" fillId="20" borderId="221" applyNumberFormat="0" applyAlignment="0" applyProtection="0"/>
    <xf numFmtId="0" fontId="19" fillId="0" borderId="222" applyNumberFormat="0" applyFill="0" applyAlignment="0" applyProtection="0"/>
    <xf numFmtId="0" fontId="6" fillId="20" borderId="219" applyNumberFormat="0" applyAlignment="0" applyProtection="0"/>
    <xf numFmtId="0" fontId="6" fillId="20" borderId="219" applyNumberFormat="0" applyAlignment="0" applyProtection="0"/>
    <xf numFmtId="0" fontId="19" fillId="0" borderId="222" applyNumberFormat="0" applyFill="0" applyAlignment="0" applyProtection="0"/>
    <xf numFmtId="0" fontId="13" fillId="20" borderId="221" applyNumberFormat="0" applyAlignment="0" applyProtection="0"/>
    <xf numFmtId="0" fontId="8" fillId="21" borderId="220" applyNumberFormat="0" applyFont="0" applyAlignment="0" applyProtection="0"/>
    <xf numFmtId="0" fontId="19" fillId="0" borderId="222" applyNumberFormat="0" applyFill="0" applyAlignment="0" applyProtection="0"/>
    <xf numFmtId="0" fontId="8" fillId="21" borderId="220" applyNumberFormat="0" applyFont="0" applyAlignment="0" applyProtection="0"/>
    <xf numFmtId="0" fontId="6" fillId="20" borderId="231" applyNumberFormat="0" applyAlignment="0" applyProtection="0"/>
    <xf numFmtId="0" fontId="8" fillId="21" borderId="220" applyNumberFormat="0" applyFont="0" applyAlignment="0" applyProtection="0"/>
    <xf numFmtId="0" fontId="19" fillId="0" borderId="226" applyNumberFormat="0" applyFill="0" applyAlignment="0" applyProtection="0"/>
    <xf numFmtId="0" fontId="9" fillId="7" borderId="219" applyNumberFormat="0" applyAlignment="0" applyProtection="0"/>
    <xf numFmtId="0" fontId="19" fillId="0" borderId="226" applyNumberFormat="0" applyFill="0" applyAlignment="0" applyProtection="0"/>
    <xf numFmtId="0" fontId="6" fillId="20" borderId="219" applyNumberFormat="0" applyAlignment="0" applyProtection="0"/>
    <xf numFmtId="0" fontId="13" fillId="20" borderId="221" applyNumberFormat="0" applyAlignment="0" applyProtection="0"/>
    <xf numFmtId="0" fontId="6" fillId="20" borderId="223" applyNumberFormat="0" applyAlignment="0" applyProtection="0"/>
    <xf numFmtId="0" fontId="8" fillId="21" borderId="220" applyNumberFormat="0" applyFont="0" applyAlignment="0" applyProtection="0"/>
    <xf numFmtId="0" fontId="8" fillId="21" borderId="220" applyNumberFormat="0" applyFont="0" applyAlignment="0" applyProtection="0"/>
    <xf numFmtId="0" fontId="19" fillId="0" borderId="222" applyNumberFormat="0" applyFill="0" applyAlignment="0" applyProtection="0"/>
    <xf numFmtId="0" fontId="9" fillId="7" borderId="219" applyNumberFormat="0" applyAlignment="0" applyProtection="0"/>
    <xf numFmtId="0" fontId="19" fillId="0" borderId="222" applyNumberFormat="0" applyFill="0" applyAlignment="0" applyProtection="0"/>
    <xf numFmtId="0" fontId="6" fillId="20" borderId="219" applyNumberFormat="0" applyAlignment="0" applyProtection="0"/>
    <xf numFmtId="0" fontId="13" fillId="20" borderId="221" applyNumberFormat="0" applyAlignment="0" applyProtection="0"/>
    <xf numFmtId="0" fontId="9" fillId="7" borderId="219" applyNumberFormat="0" applyAlignment="0" applyProtection="0"/>
    <xf numFmtId="0" fontId="19" fillId="0" borderId="222" applyNumberFormat="0" applyFill="0" applyAlignment="0" applyProtection="0"/>
    <xf numFmtId="0" fontId="6" fillId="20" borderId="219" applyNumberFormat="0" applyAlignment="0" applyProtection="0"/>
    <xf numFmtId="0" fontId="13" fillId="20" borderId="221" applyNumberFormat="0" applyAlignment="0" applyProtection="0"/>
    <xf numFmtId="0" fontId="9" fillId="7" borderId="219" applyNumberFormat="0" applyAlignment="0" applyProtection="0"/>
    <xf numFmtId="0" fontId="19" fillId="0" borderId="222" applyNumberFormat="0" applyFill="0" applyAlignment="0" applyProtection="0"/>
    <xf numFmtId="0" fontId="13" fillId="20" borderId="221" applyNumberFormat="0" applyAlignment="0" applyProtection="0"/>
    <xf numFmtId="0" fontId="19" fillId="0" borderId="222" applyNumberFormat="0" applyFill="0" applyAlignment="0" applyProtection="0"/>
    <xf numFmtId="0" fontId="8" fillId="21" borderId="220" applyNumberFormat="0" applyFont="0" applyAlignment="0" applyProtection="0"/>
    <xf numFmtId="0" fontId="9" fillId="7" borderId="219" applyNumberFormat="0" applyAlignment="0" applyProtection="0"/>
    <xf numFmtId="0" fontId="13" fillId="20" borderId="221" applyNumberFormat="0" applyAlignment="0" applyProtection="0"/>
    <xf numFmtId="0" fontId="8" fillId="21" borderId="220" applyNumberFormat="0" applyFont="0" applyAlignment="0" applyProtection="0"/>
    <xf numFmtId="0" fontId="13" fillId="20" borderId="225" applyNumberFormat="0" applyAlignment="0" applyProtection="0"/>
    <xf numFmtId="0" fontId="8" fillId="21" borderId="220" applyNumberFormat="0" applyFont="0" applyAlignment="0" applyProtection="0"/>
    <xf numFmtId="0" fontId="13" fillId="20" borderId="221" applyNumberFormat="0" applyAlignment="0" applyProtection="0"/>
    <xf numFmtId="0" fontId="6" fillId="20" borderId="219" applyNumberFormat="0" applyAlignment="0" applyProtection="0"/>
    <xf numFmtId="0" fontId="8" fillId="21" borderId="220" applyNumberFormat="0" applyFont="0" applyAlignment="0" applyProtection="0"/>
    <xf numFmtId="0" fontId="9" fillId="7" borderId="219" applyNumberFormat="0" applyAlignment="0" applyProtection="0"/>
    <xf numFmtId="0" fontId="19" fillId="0" borderId="222" applyNumberFormat="0" applyFill="0" applyAlignment="0" applyProtection="0"/>
    <xf numFmtId="0" fontId="6" fillId="20" borderId="223" applyNumberFormat="0" applyAlignment="0" applyProtection="0"/>
    <xf numFmtId="0" fontId="6" fillId="20" borderId="219" applyNumberFormat="0" applyAlignment="0" applyProtection="0"/>
    <xf numFmtId="0" fontId="19" fillId="0" borderId="222" applyNumberFormat="0" applyFill="0" applyAlignment="0" applyProtection="0"/>
    <xf numFmtId="0" fontId="9" fillId="7" borderId="219" applyNumberFormat="0" applyAlignment="0" applyProtection="0"/>
    <xf numFmtId="0" fontId="8" fillId="21" borderId="220" applyNumberFormat="0" applyFont="0" applyAlignment="0" applyProtection="0"/>
    <xf numFmtId="0" fontId="13" fillId="20" borderId="221" applyNumberFormat="0" applyAlignment="0" applyProtection="0"/>
    <xf numFmtId="0" fontId="13" fillId="20" borderId="221" applyNumberFormat="0" applyAlignment="0" applyProtection="0"/>
    <xf numFmtId="0" fontId="13" fillId="20" borderId="225" applyNumberFormat="0" applyAlignment="0" applyProtection="0"/>
    <xf numFmtId="0" fontId="13" fillId="20" borderId="221" applyNumberFormat="0" applyAlignment="0" applyProtection="0"/>
    <xf numFmtId="0" fontId="13" fillId="20" borderId="221" applyNumberFormat="0" applyAlignment="0" applyProtection="0"/>
    <xf numFmtId="0" fontId="13" fillId="20" borderId="221" applyNumberFormat="0" applyAlignment="0" applyProtection="0"/>
    <xf numFmtId="0" fontId="8" fillId="21" borderId="220" applyNumberFormat="0" applyFont="0" applyAlignment="0" applyProtection="0"/>
    <xf numFmtId="0" fontId="9" fillId="7" borderId="223" applyNumberFormat="0" applyAlignment="0" applyProtection="0"/>
    <xf numFmtId="0" fontId="13" fillId="20" borderId="221" applyNumberFormat="0" applyAlignment="0" applyProtection="0"/>
    <xf numFmtId="0" fontId="8" fillId="21" borderId="224" applyNumberFormat="0" applyFont="0" applyAlignment="0" applyProtection="0"/>
    <xf numFmtId="0" fontId="6" fillId="20" borderId="219" applyNumberFormat="0" applyAlignment="0" applyProtection="0"/>
    <xf numFmtId="0" fontId="8" fillId="21" borderId="220" applyNumberFormat="0" applyFont="0" applyAlignment="0" applyProtection="0"/>
    <xf numFmtId="0" fontId="13" fillId="20" borderId="221" applyNumberFormat="0" applyAlignment="0" applyProtection="0"/>
    <xf numFmtId="0" fontId="6" fillId="20" borderId="219" applyNumberFormat="0" applyAlignment="0" applyProtection="0"/>
    <xf numFmtId="0" fontId="13" fillId="20" borderId="221" applyNumberFormat="0" applyAlignment="0" applyProtection="0"/>
    <xf numFmtId="0" fontId="9" fillId="7" borderId="223" applyNumberFormat="0" applyAlignment="0" applyProtection="0"/>
    <xf numFmtId="0" fontId="8" fillId="21" borderId="220" applyNumberFormat="0" applyFont="0" applyAlignment="0" applyProtection="0"/>
    <xf numFmtId="0" fontId="8" fillId="21" borderId="220" applyNumberFormat="0" applyFont="0" applyAlignment="0" applyProtection="0"/>
    <xf numFmtId="0" fontId="13" fillId="20" borderId="221" applyNumberFormat="0" applyAlignment="0" applyProtection="0"/>
    <xf numFmtId="0" fontId="8" fillId="21" borderId="220" applyNumberFormat="0" applyFont="0" applyAlignment="0" applyProtection="0"/>
    <xf numFmtId="0" fontId="13" fillId="20" borderId="225" applyNumberFormat="0" applyAlignment="0" applyProtection="0"/>
    <xf numFmtId="0" fontId="9" fillId="7" borderId="219" applyNumberFormat="0" applyAlignment="0" applyProtection="0"/>
    <xf numFmtId="0" fontId="8" fillId="21" borderId="220" applyNumberFormat="0" applyFont="0" applyAlignment="0" applyProtection="0"/>
    <xf numFmtId="0" fontId="6" fillId="20" borderId="219" applyNumberFormat="0" applyAlignment="0" applyProtection="0"/>
    <xf numFmtId="0" fontId="9" fillId="7" borderId="219" applyNumberFormat="0" applyAlignment="0" applyProtection="0"/>
    <xf numFmtId="0" fontId="13" fillId="20" borderId="221" applyNumberFormat="0" applyAlignment="0" applyProtection="0"/>
    <xf numFmtId="0" fontId="13" fillId="20" borderId="221" applyNumberFormat="0" applyAlignment="0" applyProtection="0"/>
    <xf numFmtId="0" fontId="13" fillId="20" borderId="221" applyNumberFormat="0" applyAlignment="0" applyProtection="0"/>
    <xf numFmtId="0" fontId="9" fillId="7" borderId="219" applyNumberFormat="0" applyAlignment="0" applyProtection="0"/>
    <xf numFmtId="0" fontId="9" fillId="7" borderId="219" applyNumberFormat="0" applyAlignment="0" applyProtection="0"/>
    <xf numFmtId="0" fontId="13" fillId="20" borderId="221" applyNumberFormat="0" applyAlignment="0" applyProtection="0"/>
    <xf numFmtId="0" fontId="13" fillId="20" borderId="221" applyNumberFormat="0" applyAlignment="0" applyProtection="0"/>
    <xf numFmtId="0" fontId="6" fillId="20" borderId="223" applyNumberFormat="0" applyAlignment="0" applyProtection="0"/>
    <xf numFmtId="0" fontId="19" fillId="0" borderId="222" applyNumberFormat="0" applyFill="0" applyAlignment="0" applyProtection="0"/>
    <xf numFmtId="0" fontId="19" fillId="0" borderId="222" applyNumberFormat="0" applyFill="0" applyAlignment="0" applyProtection="0"/>
    <xf numFmtId="0" fontId="13" fillId="20" borderId="221" applyNumberFormat="0" applyAlignment="0" applyProtection="0"/>
    <xf numFmtId="0" fontId="8" fillId="21" borderId="220" applyNumberFormat="0" applyFont="0" applyAlignment="0" applyProtection="0"/>
    <xf numFmtId="0" fontId="19" fillId="0" borderId="222" applyNumberFormat="0" applyFill="0" applyAlignment="0" applyProtection="0"/>
    <xf numFmtId="0" fontId="9" fillId="7" borderId="219" applyNumberFormat="0" applyAlignment="0" applyProtection="0"/>
    <xf numFmtId="0" fontId="6" fillId="20" borderId="219" applyNumberFormat="0" applyAlignment="0" applyProtection="0"/>
    <xf numFmtId="0" fontId="9" fillId="7" borderId="219" applyNumberFormat="0" applyAlignment="0" applyProtection="0"/>
    <xf numFmtId="0" fontId="19" fillId="0" borderId="222" applyNumberFormat="0" applyFill="0" applyAlignment="0" applyProtection="0"/>
    <xf numFmtId="0" fontId="8" fillId="21" borderId="224" applyNumberFormat="0" applyFont="0" applyAlignment="0" applyProtection="0"/>
    <xf numFmtId="0" fontId="9" fillId="7" borderId="223" applyNumberFormat="0" applyAlignment="0" applyProtection="0"/>
    <xf numFmtId="0" fontId="8" fillId="21" borderId="220" applyNumberFormat="0" applyFont="0" applyAlignment="0" applyProtection="0"/>
    <xf numFmtId="0" fontId="8" fillId="21" borderId="220" applyNumberFormat="0" applyFont="0" applyAlignment="0" applyProtection="0"/>
    <xf numFmtId="0" fontId="9" fillId="7" borderId="219" applyNumberFormat="0" applyAlignment="0" applyProtection="0"/>
    <xf numFmtId="0" fontId="9" fillId="7" borderId="219" applyNumberFormat="0" applyAlignment="0" applyProtection="0"/>
    <xf numFmtId="0" fontId="19" fillId="0" borderId="222" applyNumberFormat="0" applyFill="0" applyAlignment="0" applyProtection="0"/>
    <xf numFmtId="0" fontId="13" fillId="20" borderId="225" applyNumberFormat="0" applyAlignment="0" applyProtection="0"/>
    <xf numFmtId="0" fontId="9" fillId="7" borderId="219" applyNumberFormat="0" applyAlignment="0" applyProtection="0"/>
    <xf numFmtId="0" fontId="8" fillId="21" borderId="224" applyNumberFormat="0" applyFont="0" applyAlignment="0" applyProtection="0"/>
    <xf numFmtId="0" fontId="6" fillId="20" borderId="219" applyNumberFormat="0" applyAlignment="0" applyProtection="0"/>
    <xf numFmtId="0" fontId="6" fillId="20" borderId="219" applyNumberFormat="0" applyAlignment="0" applyProtection="0"/>
    <xf numFmtId="0" fontId="8" fillId="21" borderId="220" applyNumberFormat="0" applyFont="0" applyAlignment="0" applyProtection="0"/>
    <xf numFmtId="0" fontId="6" fillId="20" borderId="219" applyNumberFormat="0" applyAlignment="0" applyProtection="0"/>
    <xf numFmtId="0" fontId="9" fillId="7" borderId="219" applyNumberFormat="0" applyAlignment="0" applyProtection="0"/>
    <xf numFmtId="0" fontId="19" fillId="0" borderId="222" applyNumberFormat="0" applyFill="0" applyAlignment="0" applyProtection="0"/>
    <xf numFmtId="0" fontId="19" fillId="0" borderId="222" applyNumberFormat="0" applyFill="0" applyAlignment="0" applyProtection="0"/>
    <xf numFmtId="0" fontId="8" fillId="21" borderId="220" applyNumberFormat="0" applyFont="0" applyAlignment="0" applyProtection="0"/>
    <xf numFmtId="0" fontId="6" fillId="20" borderId="219" applyNumberFormat="0" applyAlignment="0" applyProtection="0"/>
    <xf numFmtId="0" fontId="13" fillId="20" borderId="221" applyNumberFormat="0" applyAlignment="0" applyProtection="0"/>
    <xf numFmtId="0" fontId="13" fillId="20" borderId="225" applyNumberFormat="0" applyAlignment="0" applyProtection="0"/>
    <xf numFmtId="0" fontId="8" fillId="21" borderId="220" applyNumberFormat="0" applyFont="0" applyAlignment="0" applyProtection="0"/>
    <xf numFmtId="0" fontId="19" fillId="0" borderId="222" applyNumberFormat="0" applyFill="0" applyAlignment="0" applyProtection="0"/>
    <xf numFmtId="0" fontId="9" fillId="7" borderId="219" applyNumberFormat="0" applyAlignment="0" applyProtection="0"/>
    <xf numFmtId="0" fontId="13" fillId="20" borderId="221" applyNumberFormat="0" applyAlignment="0" applyProtection="0"/>
    <xf numFmtId="0" fontId="13" fillId="20" borderId="221" applyNumberFormat="0" applyAlignment="0" applyProtection="0"/>
    <xf numFmtId="0" fontId="9" fillId="7" borderId="219" applyNumberFormat="0" applyAlignment="0" applyProtection="0"/>
    <xf numFmtId="0" fontId="19" fillId="0" borderId="222" applyNumberFormat="0" applyFill="0" applyAlignment="0" applyProtection="0"/>
    <xf numFmtId="0" fontId="13" fillId="20" borderId="225" applyNumberFormat="0" applyAlignment="0" applyProtection="0"/>
    <xf numFmtId="0" fontId="8" fillId="21" borderId="220" applyNumberFormat="0" applyFont="0" applyAlignment="0" applyProtection="0"/>
    <xf numFmtId="0" fontId="13" fillId="20" borderId="225" applyNumberFormat="0" applyAlignment="0" applyProtection="0"/>
    <xf numFmtId="0" fontId="9" fillId="7" borderId="219" applyNumberFormat="0" applyAlignment="0" applyProtection="0"/>
    <xf numFmtId="0" fontId="19" fillId="0" borderId="222" applyNumberFormat="0" applyFill="0" applyAlignment="0" applyProtection="0"/>
    <xf numFmtId="0" fontId="8" fillId="21" borderId="220" applyNumberFormat="0" applyFont="0" applyAlignment="0" applyProtection="0"/>
    <xf numFmtId="0" fontId="8" fillId="21" borderId="232" applyNumberFormat="0" applyFont="0" applyAlignment="0" applyProtection="0"/>
    <xf numFmtId="0" fontId="9" fillId="7" borderId="219" applyNumberFormat="0" applyAlignment="0" applyProtection="0"/>
    <xf numFmtId="0" fontId="6" fillId="20" borderId="219" applyNumberFormat="0" applyAlignment="0" applyProtection="0"/>
    <xf numFmtId="0" fontId="6" fillId="20" borderId="219" applyNumberFormat="0" applyAlignment="0" applyProtection="0"/>
    <xf numFmtId="0" fontId="19" fillId="0" borderId="222" applyNumberFormat="0" applyFill="0" applyAlignment="0" applyProtection="0"/>
    <xf numFmtId="0" fontId="9" fillId="7" borderId="219" applyNumberFormat="0" applyAlignment="0" applyProtection="0"/>
    <xf numFmtId="0" fontId="9" fillId="7" borderId="219" applyNumberFormat="0" applyAlignment="0" applyProtection="0"/>
    <xf numFmtId="0" fontId="19" fillId="0" borderId="222" applyNumberFormat="0" applyFill="0" applyAlignment="0" applyProtection="0"/>
    <xf numFmtId="0" fontId="9" fillId="7" borderId="219" applyNumberFormat="0" applyAlignment="0" applyProtection="0"/>
    <xf numFmtId="0" fontId="8" fillId="21" borderId="220" applyNumberFormat="0" applyFont="0" applyAlignment="0" applyProtection="0"/>
    <xf numFmtId="0" fontId="19" fillId="0" borderId="222" applyNumberFormat="0" applyFill="0" applyAlignment="0" applyProtection="0"/>
    <xf numFmtId="0" fontId="13" fillId="20" borderId="221" applyNumberFormat="0" applyAlignment="0" applyProtection="0"/>
    <xf numFmtId="0" fontId="9" fillId="7" borderId="219" applyNumberFormat="0" applyAlignment="0" applyProtection="0"/>
    <xf numFmtId="0" fontId="19" fillId="0" borderId="222" applyNumberFormat="0" applyFill="0" applyAlignment="0" applyProtection="0"/>
    <xf numFmtId="0" fontId="8" fillId="21" borderId="220" applyNumberFormat="0" applyFont="0" applyAlignment="0" applyProtection="0"/>
    <xf numFmtId="0" fontId="8" fillId="21" borderId="220" applyNumberFormat="0" applyFont="0" applyAlignment="0" applyProtection="0"/>
    <xf numFmtId="0" fontId="6" fillId="20" borderId="219" applyNumberFormat="0" applyAlignment="0" applyProtection="0"/>
    <xf numFmtId="0" fontId="9" fillId="7" borderId="219" applyNumberFormat="0" applyAlignment="0" applyProtection="0"/>
    <xf numFmtId="0" fontId="19" fillId="0" borderId="222" applyNumberFormat="0" applyFill="0" applyAlignment="0" applyProtection="0"/>
    <xf numFmtId="0" fontId="6" fillId="20" borderId="219" applyNumberFormat="0" applyAlignment="0" applyProtection="0"/>
    <xf numFmtId="0" fontId="6" fillId="20" borderId="223" applyNumberFormat="0" applyAlignment="0" applyProtection="0"/>
    <xf numFmtId="0" fontId="19" fillId="0" borderId="222" applyNumberFormat="0" applyFill="0" applyAlignment="0" applyProtection="0"/>
    <xf numFmtId="0" fontId="9" fillId="7" borderId="231" applyNumberFormat="0" applyAlignment="0" applyProtection="0"/>
    <xf numFmtId="0" fontId="13" fillId="20" borderId="221" applyNumberFormat="0" applyAlignment="0" applyProtection="0"/>
    <xf numFmtId="0" fontId="6" fillId="20" borderId="219" applyNumberFormat="0" applyAlignment="0" applyProtection="0"/>
    <xf numFmtId="0" fontId="6" fillId="20" borderId="223" applyNumberFormat="0" applyAlignment="0" applyProtection="0"/>
    <xf numFmtId="0" fontId="19" fillId="0" borderId="222" applyNumberFormat="0" applyFill="0" applyAlignment="0" applyProtection="0"/>
    <xf numFmtId="0" fontId="8" fillId="21" borderId="220" applyNumberFormat="0" applyFont="0" applyAlignment="0" applyProtection="0"/>
    <xf numFmtId="0" fontId="9" fillId="7" borderId="219" applyNumberFormat="0" applyAlignment="0" applyProtection="0"/>
    <xf numFmtId="0" fontId="6" fillId="20" borderId="223" applyNumberFormat="0" applyAlignment="0" applyProtection="0"/>
    <xf numFmtId="0" fontId="13" fillId="20" borderId="221" applyNumberFormat="0" applyAlignment="0" applyProtection="0"/>
    <xf numFmtId="0" fontId="19" fillId="0" borderId="222" applyNumberFormat="0" applyFill="0" applyAlignment="0" applyProtection="0"/>
    <xf numFmtId="0" fontId="13" fillId="20" borderId="221" applyNumberFormat="0" applyAlignment="0" applyProtection="0"/>
    <xf numFmtId="0" fontId="9" fillId="7" borderId="219" applyNumberFormat="0" applyAlignment="0" applyProtection="0"/>
    <xf numFmtId="0" fontId="8" fillId="21" borderId="220" applyNumberFormat="0" applyFont="0" applyAlignment="0" applyProtection="0"/>
    <xf numFmtId="0" fontId="8" fillId="21" borderId="220" applyNumberFormat="0" applyFont="0" applyAlignment="0" applyProtection="0"/>
    <xf numFmtId="0" fontId="19" fillId="0" borderId="222" applyNumberFormat="0" applyFill="0" applyAlignment="0" applyProtection="0"/>
    <xf numFmtId="0" fontId="8" fillId="21" borderId="220" applyNumberFormat="0" applyFont="0" applyAlignment="0" applyProtection="0"/>
    <xf numFmtId="0" fontId="8" fillId="21" borderId="220" applyNumberFormat="0" applyFont="0" applyAlignment="0" applyProtection="0"/>
    <xf numFmtId="0" fontId="19" fillId="0" borderId="222" applyNumberFormat="0" applyFill="0" applyAlignment="0" applyProtection="0"/>
    <xf numFmtId="0" fontId="8" fillId="21" borderId="220" applyNumberFormat="0" applyFont="0" applyAlignment="0" applyProtection="0"/>
    <xf numFmtId="0" fontId="9" fillId="7" borderId="219" applyNumberFormat="0" applyAlignment="0" applyProtection="0"/>
    <xf numFmtId="0" fontId="13" fillId="20" borderId="221" applyNumberFormat="0" applyAlignment="0" applyProtection="0"/>
    <xf numFmtId="0" fontId="6" fillId="20" borderId="219" applyNumberFormat="0" applyAlignment="0" applyProtection="0"/>
    <xf numFmtId="0" fontId="19" fillId="0" borderId="222" applyNumberFormat="0" applyFill="0" applyAlignment="0" applyProtection="0"/>
    <xf numFmtId="0" fontId="6" fillId="20" borderId="219" applyNumberFormat="0" applyAlignment="0" applyProtection="0"/>
    <xf numFmtId="0" fontId="6" fillId="20" borderId="219" applyNumberFormat="0" applyAlignment="0" applyProtection="0"/>
    <xf numFmtId="0" fontId="13" fillId="20" borderId="221" applyNumberFormat="0" applyAlignment="0" applyProtection="0"/>
    <xf numFmtId="0" fontId="9" fillId="7" borderId="219" applyNumberFormat="0" applyAlignment="0" applyProtection="0"/>
    <xf numFmtId="0" fontId="19" fillId="0" borderId="222" applyNumberFormat="0" applyFill="0" applyAlignment="0" applyProtection="0"/>
    <xf numFmtId="0" fontId="9" fillId="7" borderId="219" applyNumberFormat="0" applyAlignment="0" applyProtection="0"/>
    <xf numFmtId="0" fontId="6" fillId="20" borderId="223" applyNumberFormat="0" applyAlignment="0" applyProtection="0"/>
    <xf numFmtId="0" fontId="6" fillId="20" borderId="219" applyNumberFormat="0" applyAlignment="0" applyProtection="0"/>
    <xf numFmtId="0" fontId="8" fillId="21" borderId="228" applyNumberFormat="0" applyFont="0" applyAlignment="0" applyProtection="0"/>
    <xf numFmtId="0" fontId="6" fillId="20" borderId="219" applyNumberFormat="0" applyAlignment="0" applyProtection="0"/>
    <xf numFmtId="0" fontId="13" fillId="20" borderId="221" applyNumberFormat="0" applyAlignment="0" applyProtection="0"/>
    <xf numFmtId="0" fontId="8" fillId="21" borderId="220" applyNumberFormat="0" applyFont="0" applyAlignment="0" applyProtection="0"/>
    <xf numFmtId="0" fontId="19" fillId="0" borderId="222" applyNumberFormat="0" applyFill="0" applyAlignment="0" applyProtection="0"/>
    <xf numFmtId="0" fontId="19" fillId="0" borderId="222" applyNumberFormat="0" applyFill="0" applyAlignment="0" applyProtection="0"/>
    <xf numFmtId="0" fontId="8" fillId="21" borderId="220" applyNumberFormat="0" applyFont="0" applyAlignment="0" applyProtection="0"/>
    <xf numFmtId="0" fontId="6" fillId="20" borderId="219" applyNumberFormat="0" applyAlignment="0" applyProtection="0"/>
    <xf numFmtId="0" fontId="6" fillId="20" borderId="223" applyNumberFormat="0" applyAlignment="0" applyProtection="0"/>
    <xf numFmtId="0" fontId="6" fillId="20" borderId="219" applyNumberFormat="0" applyAlignment="0" applyProtection="0"/>
    <xf numFmtId="0" fontId="6" fillId="20" borderId="223" applyNumberFormat="0" applyAlignment="0" applyProtection="0"/>
    <xf numFmtId="0" fontId="19" fillId="0" borderId="222" applyNumberFormat="0" applyFill="0" applyAlignment="0" applyProtection="0"/>
    <xf numFmtId="0" fontId="6" fillId="20" borderId="219" applyNumberFormat="0" applyAlignment="0" applyProtection="0"/>
    <xf numFmtId="0" fontId="6" fillId="20" borderId="219" applyNumberFormat="0" applyAlignment="0" applyProtection="0"/>
    <xf numFmtId="0" fontId="8" fillId="21" borderId="220" applyNumberFormat="0" applyFont="0" applyAlignment="0" applyProtection="0"/>
    <xf numFmtId="0" fontId="13" fillId="20" borderId="221" applyNumberFormat="0" applyAlignment="0" applyProtection="0"/>
    <xf numFmtId="0" fontId="19" fillId="0" borderId="222" applyNumberFormat="0" applyFill="0" applyAlignment="0" applyProtection="0"/>
    <xf numFmtId="0" fontId="6" fillId="20" borderId="219" applyNumberFormat="0" applyAlignment="0" applyProtection="0"/>
    <xf numFmtId="0" fontId="13" fillId="20" borderId="221" applyNumberFormat="0" applyAlignment="0" applyProtection="0"/>
    <xf numFmtId="0" fontId="19" fillId="0" borderId="222" applyNumberFormat="0" applyFill="0" applyAlignment="0" applyProtection="0"/>
    <xf numFmtId="0" fontId="8" fillId="21" borderId="220" applyNumberFormat="0" applyFont="0" applyAlignment="0" applyProtection="0"/>
    <xf numFmtId="0" fontId="19" fillId="0" borderId="222" applyNumberFormat="0" applyFill="0" applyAlignment="0" applyProtection="0"/>
    <xf numFmtId="0" fontId="9" fillId="7" borderId="219" applyNumberFormat="0" applyAlignment="0" applyProtection="0"/>
    <xf numFmtId="0" fontId="6" fillId="20" borderId="219" applyNumberFormat="0" applyAlignment="0" applyProtection="0"/>
    <xf numFmtId="0" fontId="6" fillId="20" borderId="219" applyNumberFormat="0" applyAlignment="0" applyProtection="0"/>
    <xf numFmtId="0" fontId="6" fillId="20" borderId="219" applyNumberFormat="0" applyAlignment="0" applyProtection="0"/>
    <xf numFmtId="0" fontId="19" fillId="0" borderId="222" applyNumberFormat="0" applyFill="0" applyAlignment="0" applyProtection="0"/>
    <xf numFmtId="0" fontId="9" fillId="7" borderId="219" applyNumberFormat="0" applyAlignment="0" applyProtection="0"/>
    <xf numFmtId="0" fontId="8" fillId="21" borderId="220" applyNumberFormat="0" applyFont="0" applyAlignment="0" applyProtection="0"/>
    <xf numFmtId="0" fontId="13" fillId="20" borderId="225" applyNumberFormat="0" applyAlignment="0" applyProtection="0"/>
    <xf numFmtId="0" fontId="6" fillId="20" borderId="219" applyNumberFormat="0" applyAlignment="0" applyProtection="0"/>
    <xf numFmtId="0" fontId="8" fillId="21" borderId="220" applyNumberFormat="0" applyFont="0" applyAlignment="0" applyProtection="0"/>
    <xf numFmtId="0" fontId="8" fillId="21" borderId="220" applyNumberFormat="0" applyFont="0" applyAlignment="0" applyProtection="0"/>
    <xf numFmtId="0" fontId="8" fillId="21" borderId="224" applyNumberFormat="0" applyFont="0" applyAlignment="0" applyProtection="0"/>
    <xf numFmtId="0" fontId="19" fillId="0" borderId="226" applyNumberFormat="0" applyFill="0" applyAlignment="0" applyProtection="0"/>
    <xf numFmtId="0" fontId="8" fillId="21" borderId="224" applyNumberFormat="0" applyFont="0" applyAlignment="0" applyProtection="0"/>
    <xf numFmtId="0" fontId="6" fillId="20" borderId="231" applyNumberFormat="0" applyAlignment="0" applyProtection="0"/>
    <xf numFmtId="0" fontId="9" fillId="7" borderId="223" applyNumberFormat="0" applyAlignment="0" applyProtection="0"/>
    <xf numFmtId="0" fontId="6" fillId="20" borderId="223" applyNumberFormat="0" applyAlignment="0" applyProtection="0"/>
    <xf numFmtId="0" fontId="9" fillId="7" borderId="223" applyNumberFormat="0" applyAlignment="0" applyProtection="0"/>
    <xf numFmtId="0" fontId="6" fillId="20" borderId="231" applyNumberFormat="0" applyAlignment="0" applyProtection="0"/>
    <xf numFmtId="0" fontId="8" fillId="21" borderId="224" applyNumberFormat="0" applyFont="0" applyAlignment="0" applyProtection="0"/>
    <xf numFmtId="0" fontId="19" fillId="0" borderId="226" applyNumberFormat="0" applyFill="0" applyAlignment="0" applyProtection="0"/>
    <xf numFmtId="0" fontId="19" fillId="0" borderId="226" applyNumberFormat="0" applyFill="0" applyAlignment="0" applyProtection="0"/>
    <xf numFmtId="0" fontId="6" fillId="20" borderId="223" applyNumberFormat="0" applyAlignment="0" applyProtection="0"/>
    <xf numFmtId="0" fontId="13" fillId="20" borderId="225" applyNumberFormat="0" applyAlignment="0" applyProtection="0"/>
    <xf numFmtId="0" fontId="9" fillId="7" borderId="223" applyNumberFormat="0" applyAlignment="0" applyProtection="0"/>
    <xf numFmtId="0" fontId="9" fillId="7" borderId="223" applyNumberFormat="0" applyAlignment="0" applyProtection="0"/>
    <xf numFmtId="0" fontId="9" fillId="7" borderId="223" applyNumberFormat="0" applyAlignment="0" applyProtection="0"/>
    <xf numFmtId="0" fontId="9" fillId="7" borderId="223" applyNumberFormat="0" applyAlignment="0" applyProtection="0"/>
    <xf numFmtId="0" fontId="13" fillId="20" borderId="229" applyNumberFormat="0" applyAlignment="0" applyProtection="0"/>
    <xf numFmtId="0" fontId="19" fillId="0" borderId="226" applyNumberFormat="0" applyFill="0" applyAlignment="0" applyProtection="0"/>
    <xf numFmtId="0" fontId="19" fillId="0" borderId="226" applyNumberFormat="0" applyFill="0" applyAlignment="0" applyProtection="0"/>
    <xf numFmtId="0" fontId="13" fillId="20" borderId="225" applyNumberFormat="0" applyAlignment="0" applyProtection="0"/>
    <xf numFmtId="0" fontId="9" fillId="7" borderId="223" applyNumberFormat="0" applyAlignment="0" applyProtection="0"/>
    <xf numFmtId="0" fontId="19" fillId="0" borderId="226" applyNumberFormat="0" applyFill="0" applyAlignment="0" applyProtection="0"/>
    <xf numFmtId="0" fontId="8" fillId="21" borderId="224" applyNumberFormat="0" applyFont="0" applyAlignment="0" applyProtection="0"/>
    <xf numFmtId="0" fontId="6" fillId="20" borderId="231" applyNumberFormat="0" applyAlignment="0" applyProtection="0"/>
    <xf numFmtId="0" fontId="13" fillId="20" borderId="225" applyNumberFormat="0" applyAlignment="0" applyProtection="0"/>
    <xf numFmtId="0" fontId="13" fillId="20" borderId="225" applyNumberFormat="0" applyAlignment="0" applyProtection="0"/>
    <xf numFmtId="0" fontId="13" fillId="20" borderId="233" applyNumberFormat="0" applyAlignment="0" applyProtection="0"/>
    <xf numFmtId="0" fontId="8" fillId="21" borderId="224" applyNumberFormat="0" applyFont="0" applyAlignment="0" applyProtection="0"/>
    <xf numFmtId="0" fontId="6" fillId="20" borderId="223" applyNumberFormat="0" applyAlignment="0" applyProtection="0"/>
    <xf numFmtId="0" fontId="9" fillId="7" borderId="223" applyNumberFormat="0" applyAlignment="0" applyProtection="0"/>
    <xf numFmtId="0" fontId="8" fillId="21" borderId="224" applyNumberFormat="0" applyFont="0" applyAlignment="0" applyProtection="0"/>
    <xf numFmtId="0" fontId="19" fillId="0" borderId="226" applyNumberFormat="0" applyFill="0" applyAlignment="0" applyProtection="0"/>
    <xf numFmtId="0" fontId="8" fillId="21" borderId="232" applyNumberFormat="0" applyFont="0" applyAlignment="0" applyProtection="0"/>
    <xf numFmtId="0" fontId="8" fillId="21" borderId="232" applyNumberFormat="0" applyFont="0" applyAlignment="0" applyProtection="0"/>
    <xf numFmtId="0" fontId="8" fillId="21" borderId="224" applyNumberFormat="0" applyFont="0" applyAlignment="0" applyProtection="0"/>
    <xf numFmtId="0" fontId="9" fillId="7" borderId="231" applyNumberFormat="0" applyAlignment="0" applyProtection="0"/>
    <xf numFmtId="0" fontId="19" fillId="0" borderId="226" applyNumberFormat="0" applyFill="0" applyAlignment="0" applyProtection="0"/>
    <xf numFmtId="0" fontId="8" fillId="21" borderId="224" applyNumberFormat="0" applyFont="0" applyAlignment="0" applyProtection="0"/>
    <xf numFmtId="0" fontId="13" fillId="20" borderId="225" applyNumberFormat="0" applyAlignment="0" applyProtection="0"/>
    <xf numFmtId="0" fontId="19" fillId="0" borderId="226" applyNumberFormat="0" applyFill="0" applyAlignment="0" applyProtection="0"/>
    <xf numFmtId="0" fontId="9" fillId="7" borderId="223" applyNumberFormat="0" applyAlignment="0" applyProtection="0"/>
    <xf numFmtId="0" fontId="6" fillId="20" borderId="223" applyNumberFormat="0" applyAlignment="0" applyProtection="0"/>
    <xf numFmtId="0" fontId="6" fillId="20" borderId="223" applyNumberFormat="0" applyAlignment="0" applyProtection="0"/>
    <xf numFmtId="0" fontId="9" fillId="7" borderId="223" applyNumberFormat="0" applyAlignment="0" applyProtection="0"/>
    <xf numFmtId="0" fontId="9" fillId="7" borderId="223" applyNumberFormat="0" applyAlignment="0" applyProtection="0"/>
    <xf numFmtId="0" fontId="8" fillId="21" borderId="224" applyNumberFormat="0" applyFont="0" applyAlignment="0" applyProtection="0"/>
    <xf numFmtId="0" fontId="6" fillId="20" borderId="223" applyNumberFormat="0" applyAlignment="0" applyProtection="0"/>
    <xf numFmtId="0" fontId="13" fillId="20" borderId="225" applyNumberFormat="0" applyAlignment="0" applyProtection="0"/>
    <xf numFmtId="0" fontId="8" fillId="21" borderId="224" applyNumberFormat="0" applyFont="0" applyAlignment="0" applyProtection="0"/>
    <xf numFmtId="0" fontId="6" fillId="20" borderId="223" applyNumberFormat="0" applyAlignment="0" applyProtection="0"/>
    <xf numFmtId="0" fontId="13" fillId="20" borderId="225" applyNumberFormat="0" applyAlignment="0" applyProtection="0"/>
    <xf numFmtId="0" fontId="6" fillId="20" borderId="223" applyNumberFormat="0" applyAlignment="0" applyProtection="0"/>
    <xf numFmtId="0" fontId="8" fillId="21" borderId="224" applyNumberFormat="0" applyFont="0" applyAlignment="0" applyProtection="0"/>
    <xf numFmtId="0" fontId="13" fillId="20" borderId="225" applyNumberFormat="0" applyAlignment="0" applyProtection="0"/>
    <xf numFmtId="0" fontId="19" fillId="0" borderId="226" applyNumberFormat="0" applyFill="0" applyAlignment="0" applyProtection="0"/>
    <xf numFmtId="0" fontId="19" fillId="0" borderId="226" applyNumberFormat="0" applyFill="0" applyAlignment="0" applyProtection="0"/>
    <xf numFmtId="0" fontId="6" fillId="20" borderId="223" applyNumberFormat="0" applyAlignment="0" applyProtection="0"/>
    <xf numFmtId="0" fontId="8" fillId="21" borderId="224" applyNumberFormat="0" applyFont="0" applyAlignment="0" applyProtection="0"/>
    <xf numFmtId="0" fontId="19" fillId="0" borderId="226" applyNumberFormat="0" applyFill="0" applyAlignment="0" applyProtection="0"/>
    <xf numFmtId="0" fontId="19" fillId="0" borderId="226" applyNumberFormat="0" applyFill="0" applyAlignment="0" applyProtection="0"/>
    <xf numFmtId="0" fontId="8" fillId="21" borderId="224" applyNumberFormat="0" applyFont="0" applyAlignment="0" applyProtection="0"/>
    <xf numFmtId="0" fontId="9" fillId="7" borderId="223" applyNumberFormat="0" applyAlignment="0" applyProtection="0"/>
    <xf numFmtId="0" fontId="19" fillId="0" borderId="226" applyNumberFormat="0" applyFill="0" applyAlignment="0" applyProtection="0"/>
    <xf numFmtId="0" fontId="13" fillId="20" borderId="225" applyNumberFormat="0" applyAlignment="0" applyProtection="0"/>
    <xf numFmtId="0" fontId="13" fillId="20" borderId="225" applyNumberFormat="0" applyAlignment="0" applyProtection="0"/>
    <xf numFmtId="0" fontId="19" fillId="0" borderId="226" applyNumberFormat="0" applyFill="0" applyAlignment="0" applyProtection="0"/>
    <xf numFmtId="0" fontId="13" fillId="20" borderId="225" applyNumberFormat="0" applyAlignment="0" applyProtection="0"/>
    <xf numFmtId="0" fontId="6" fillId="20" borderId="223" applyNumberFormat="0" applyAlignment="0" applyProtection="0"/>
    <xf numFmtId="0" fontId="6" fillId="20" borderId="231" applyNumberFormat="0" applyAlignment="0" applyProtection="0"/>
    <xf numFmtId="0" fontId="6" fillId="20" borderId="223" applyNumberFormat="0" applyAlignment="0" applyProtection="0"/>
    <xf numFmtId="0" fontId="6" fillId="20" borderId="223" applyNumberFormat="0" applyAlignment="0" applyProtection="0"/>
    <xf numFmtId="0" fontId="9" fillId="7" borderId="223" applyNumberFormat="0" applyAlignment="0" applyProtection="0"/>
    <xf numFmtId="0" fontId="19" fillId="0" borderId="226" applyNumberFormat="0" applyFill="0" applyAlignment="0" applyProtection="0"/>
    <xf numFmtId="0" fontId="19" fillId="0" borderId="234" applyNumberFormat="0" applyFill="0" applyAlignment="0" applyProtection="0"/>
    <xf numFmtId="0" fontId="8" fillId="21" borderId="224" applyNumberFormat="0" applyFont="0" applyAlignment="0" applyProtection="0"/>
    <xf numFmtId="0" fontId="19" fillId="0" borderId="226" applyNumberFormat="0" applyFill="0" applyAlignment="0" applyProtection="0"/>
    <xf numFmtId="0" fontId="8" fillId="21" borderId="224" applyNumberFormat="0" applyFont="0" applyAlignment="0" applyProtection="0"/>
    <xf numFmtId="0" fontId="6" fillId="20" borderId="223" applyNumberFormat="0" applyAlignment="0" applyProtection="0"/>
    <xf numFmtId="0" fontId="13" fillId="20" borderId="225" applyNumberFormat="0" applyAlignment="0" applyProtection="0"/>
    <xf numFmtId="0" fontId="8" fillId="21" borderId="224" applyNumberFormat="0" applyFont="0" applyAlignment="0" applyProtection="0"/>
    <xf numFmtId="0" fontId="8" fillId="21" borderId="224" applyNumberFormat="0" applyFont="0" applyAlignment="0" applyProtection="0"/>
    <xf numFmtId="0" fontId="6" fillId="20" borderId="223" applyNumberFormat="0" applyAlignment="0" applyProtection="0"/>
    <xf numFmtId="0" fontId="13" fillId="20" borderId="233" applyNumberFormat="0" applyAlignment="0" applyProtection="0"/>
    <xf numFmtId="0" fontId="9" fillId="7" borderId="223" applyNumberFormat="0" applyAlignment="0" applyProtection="0"/>
    <xf numFmtId="0" fontId="19" fillId="0" borderId="226" applyNumberFormat="0" applyFill="0" applyAlignment="0" applyProtection="0"/>
    <xf numFmtId="0" fontId="8" fillId="21" borderId="224" applyNumberFormat="0" applyFont="0" applyAlignment="0" applyProtection="0"/>
    <xf numFmtId="0" fontId="8" fillId="21" borderId="224" applyNumberFormat="0" applyFont="0" applyAlignment="0" applyProtection="0"/>
    <xf numFmtId="0" fontId="6" fillId="20" borderId="223" applyNumberFormat="0" applyAlignment="0" applyProtection="0"/>
    <xf numFmtId="0" fontId="6" fillId="20" borderId="223" applyNumberFormat="0" applyAlignment="0" applyProtection="0"/>
    <xf numFmtId="0" fontId="6" fillId="20" borderId="223" applyNumberFormat="0" applyAlignment="0" applyProtection="0"/>
    <xf numFmtId="0" fontId="8" fillId="21" borderId="232" applyNumberFormat="0" applyFont="0" applyAlignment="0" applyProtection="0"/>
    <xf numFmtId="0" fontId="19" fillId="0" borderId="226" applyNumberFormat="0" applyFill="0" applyAlignment="0" applyProtection="0"/>
    <xf numFmtId="0" fontId="8" fillId="21" borderId="232" applyNumberFormat="0" applyFont="0" applyAlignment="0" applyProtection="0"/>
    <xf numFmtId="0" fontId="13" fillId="20" borderId="225" applyNumberFormat="0" applyAlignment="0" applyProtection="0"/>
    <xf numFmtId="0" fontId="8" fillId="21" borderId="224" applyNumberFormat="0" applyFont="0" applyAlignment="0" applyProtection="0"/>
    <xf numFmtId="0" fontId="13" fillId="20" borderId="225" applyNumberFormat="0" applyAlignment="0" applyProtection="0"/>
    <xf numFmtId="0" fontId="8" fillId="21" borderId="224" applyNumberFormat="0" applyFont="0" applyAlignment="0" applyProtection="0"/>
    <xf numFmtId="0" fontId="6" fillId="20" borderId="223" applyNumberFormat="0" applyAlignment="0" applyProtection="0"/>
    <xf numFmtId="0" fontId="8" fillId="21" borderId="224" applyNumberFormat="0" applyFont="0" applyAlignment="0" applyProtection="0"/>
    <xf numFmtId="0" fontId="6" fillId="20" borderId="223" applyNumberFormat="0" applyAlignment="0" applyProtection="0"/>
    <xf numFmtId="0" fontId="6" fillId="20" borderId="231" applyNumberFormat="0" applyAlignment="0" applyProtection="0"/>
    <xf numFmtId="0" fontId="19" fillId="0" borderId="226" applyNumberFormat="0" applyFill="0" applyAlignment="0" applyProtection="0"/>
    <xf numFmtId="0" fontId="13" fillId="20" borderId="225" applyNumberFormat="0" applyAlignment="0" applyProtection="0"/>
    <xf numFmtId="0" fontId="19" fillId="0" borderId="226" applyNumberFormat="0" applyFill="0" applyAlignment="0" applyProtection="0"/>
    <xf numFmtId="0" fontId="8" fillId="21" borderId="224" applyNumberFormat="0" applyFont="0" applyAlignment="0" applyProtection="0"/>
    <xf numFmtId="0" fontId="19" fillId="0" borderId="226" applyNumberFormat="0" applyFill="0" applyAlignment="0" applyProtection="0"/>
    <xf numFmtId="0" fontId="13" fillId="20" borderId="225" applyNumberFormat="0" applyAlignment="0" applyProtection="0"/>
    <xf numFmtId="0" fontId="6" fillId="20" borderId="223" applyNumberFormat="0" applyAlignment="0" applyProtection="0"/>
    <xf numFmtId="0" fontId="9" fillId="7" borderId="223" applyNumberFormat="0" applyAlignment="0" applyProtection="0"/>
    <xf numFmtId="0" fontId="6" fillId="20" borderId="223" applyNumberFormat="0" applyAlignment="0" applyProtection="0"/>
    <xf numFmtId="0" fontId="19" fillId="0" borderId="226" applyNumberFormat="0" applyFill="0" applyAlignment="0" applyProtection="0"/>
    <xf numFmtId="0" fontId="13" fillId="20" borderId="225" applyNumberFormat="0" applyAlignment="0" applyProtection="0"/>
    <xf numFmtId="0" fontId="13" fillId="20" borderId="225" applyNumberFormat="0" applyAlignment="0" applyProtection="0"/>
    <xf numFmtId="0" fontId="9" fillId="7" borderId="223" applyNumberFormat="0" applyAlignment="0" applyProtection="0"/>
    <xf numFmtId="0" fontId="19" fillId="0" borderId="226" applyNumberFormat="0" applyFill="0" applyAlignment="0" applyProtection="0"/>
    <xf numFmtId="0" fontId="8" fillId="21" borderId="224" applyNumberFormat="0" applyFont="0" applyAlignment="0" applyProtection="0"/>
    <xf numFmtId="0" fontId="13" fillId="20" borderId="225" applyNumberFormat="0" applyAlignment="0" applyProtection="0"/>
    <xf numFmtId="0" fontId="13" fillId="20" borderId="225" applyNumberFormat="0" applyAlignment="0" applyProtection="0"/>
    <xf numFmtId="0" fontId="9" fillId="7" borderId="223" applyNumberFormat="0" applyAlignment="0" applyProtection="0"/>
    <xf numFmtId="0" fontId="13" fillId="20" borderId="225" applyNumberFormat="0" applyAlignment="0" applyProtection="0"/>
    <xf numFmtId="0" fontId="13" fillId="20" borderId="225" applyNumberFormat="0" applyAlignment="0" applyProtection="0"/>
    <xf numFmtId="0" fontId="6" fillId="20" borderId="223" applyNumberFormat="0" applyAlignment="0" applyProtection="0"/>
    <xf numFmtId="0" fontId="6" fillId="20" borderId="223" applyNumberFormat="0" applyAlignment="0" applyProtection="0"/>
    <xf numFmtId="0" fontId="8" fillId="21" borderId="224" applyNumberFormat="0" applyFont="0" applyAlignment="0" applyProtection="0"/>
    <xf numFmtId="0" fontId="6" fillId="20" borderId="223" applyNumberFormat="0" applyAlignment="0" applyProtection="0"/>
    <xf numFmtId="0" fontId="8" fillId="21" borderId="224" applyNumberFormat="0" applyFont="0" applyAlignment="0" applyProtection="0"/>
    <xf numFmtId="0" fontId="13" fillId="20" borderId="225" applyNumberFormat="0" applyAlignment="0" applyProtection="0"/>
    <xf numFmtId="0" fontId="8" fillId="21" borderId="224" applyNumberFormat="0" applyFont="0" applyAlignment="0" applyProtection="0"/>
    <xf numFmtId="0" fontId="13" fillId="20" borderId="225" applyNumberFormat="0" applyAlignment="0" applyProtection="0"/>
    <xf numFmtId="0" fontId="19" fillId="0" borderId="226" applyNumberFormat="0" applyFill="0" applyAlignment="0" applyProtection="0"/>
    <xf numFmtId="0" fontId="6" fillId="20" borderId="223" applyNumberFormat="0" applyAlignment="0" applyProtection="0"/>
    <xf numFmtId="0" fontId="6" fillId="20" borderId="223" applyNumberFormat="0" applyAlignment="0" applyProtection="0"/>
    <xf numFmtId="0" fontId="13" fillId="20" borderId="225" applyNumberFormat="0" applyAlignment="0" applyProtection="0"/>
    <xf numFmtId="0" fontId="8" fillId="21" borderId="224" applyNumberFormat="0" applyFont="0" applyAlignment="0" applyProtection="0"/>
    <xf numFmtId="0" fontId="9" fillId="7" borderId="223" applyNumberFormat="0" applyAlignment="0" applyProtection="0"/>
    <xf numFmtId="0" fontId="19" fillId="0" borderId="226" applyNumberFormat="0" applyFill="0" applyAlignment="0" applyProtection="0"/>
    <xf numFmtId="0" fontId="13" fillId="20" borderId="225" applyNumberFormat="0" applyAlignment="0" applyProtection="0"/>
    <xf numFmtId="0" fontId="9" fillId="7" borderId="223" applyNumberFormat="0" applyAlignment="0" applyProtection="0"/>
    <xf numFmtId="0" fontId="19" fillId="0" borderId="226" applyNumberFormat="0" applyFill="0" applyAlignment="0" applyProtection="0"/>
    <xf numFmtId="0" fontId="19" fillId="0" borderId="226" applyNumberFormat="0" applyFill="0" applyAlignment="0" applyProtection="0"/>
    <xf numFmtId="0" fontId="19" fillId="0" borderId="226" applyNumberFormat="0" applyFill="0" applyAlignment="0" applyProtection="0"/>
    <xf numFmtId="0" fontId="8" fillId="21" borderId="224" applyNumberFormat="0" applyFont="0" applyAlignment="0" applyProtection="0"/>
    <xf numFmtId="0" fontId="9" fillId="7" borderId="223" applyNumberFormat="0" applyAlignment="0" applyProtection="0"/>
    <xf numFmtId="0" fontId="9" fillId="7" borderId="223" applyNumberFormat="0" applyAlignment="0" applyProtection="0"/>
    <xf numFmtId="0" fontId="19" fillId="0" borderId="226" applyNumberFormat="0" applyFill="0" applyAlignment="0" applyProtection="0"/>
    <xf numFmtId="0" fontId="6" fillId="20" borderId="223" applyNumberFormat="0" applyAlignment="0" applyProtection="0"/>
    <xf numFmtId="0" fontId="8" fillId="21" borderId="224" applyNumberFormat="0" applyFont="0" applyAlignment="0" applyProtection="0"/>
    <xf numFmtId="0" fontId="9" fillId="7" borderId="223" applyNumberFormat="0" applyAlignment="0" applyProtection="0"/>
    <xf numFmtId="0" fontId="19" fillId="0" borderId="226" applyNumberFormat="0" applyFill="0" applyAlignment="0" applyProtection="0"/>
    <xf numFmtId="0" fontId="19" fillId="0" borderId="226" applyNumberFormat="0" applyFill="0" applyAlignment="0" applyProtection="0"/>
    <xf numFmtId="0" fontId="9" fillId="7" borderId="223" applyNumberFormat="0" applyAlignment="0" applyProtection="0"/>
    <xf numFmtId="0" fontId="9" fillId="7" borderId="223" applyNumberFormat="0" applyAlignment="0" applyProtection="0"/>
    <xf numFmtId="0" fontId="13" fillId="20" borderId="225" applyNumberFormat="0" applyAlignment="0" applyProtection="0"/>
    <xf numFmtId="0" fontId="19" fillId="0" borderId="226" applyNumberFormat="0" applyFill="0" applyAlignment="0" applyProtection="0"/>
    <xf numFmtId="0" fontId="19" fillId="0" borderId="226" applyNumberFormat="0" applyFill="0" applyAlignment="0" applyProtection="0"/>
    <xf numFmtId="0" fontId="9" fillId="7" borderId="223" applyNumberFormat="0" applyAlignment="0" applyProtection="0"/>
    <xf numFmtId="0" fontId="9" fillId="7" borderId="223" applyNumberFormat="0" applyAlignment="0" applyProtection="0"/>
    <xf numFmtId="0" fontId="9" fillId="7" borderId="223" applyNumberFormat="0" applyAlignment="0" applyProtection="0"/>
    <xf numFmtId="0" fontId="6" fillId="20" borderId="223" applyNumberFormat="0" applyAlignment="0" applyProtection="0"/>
    <xf numFmtId="0" fontId="9" fillId="7" borderId="223" applyNumberFormat="0" applyAlignment="0" applyProtection="0"/>
    <xf numFmtId="0" fontId="8" fillId="21" borderId="232" applyNumberFormat="0" applyFont="0" applyAlignment="0" applyProtection="0"/>
    <xf numFmtId="0" fontId="8" fillId="21" borderId="224" applyNumberFormat="0" applyFont="0" applyAlignment="0" applyProtection="0"/>
    <xf numFmtId="0" fontId="8" fillId="21" borderId="232" applyNumberFormat="0" applyFont="0" applyAlignment="0" applyProtection="0"/>
    <xf numFmtId="0" fontId="9" fillId="7" borderId="223" applyNumberFormat="0" applyAlignment="0" applyProtection="0"/>
    <xf numFmtId="0" fontId="6" fillId="20" borderId="223" applyNumberFormat="0" applyAlignment="0" applyProtection="0"/>
    <xf numFmtId="0" fontId="19" fillId="0" borderId="226" applyNumberFormat="0" applyFill="0" applyAlignment="0" applyProtection="0"/>
    <xf numFmtId="0" fontId="13" fillId="20" borderId="225" applyNumberFormat="0" applyAlignment="0" applyProtection="0"/>
    <xf numFmtId="0" fontId="6" fillId="20" borderId="223" applyNumberFormat="0" applyAlignment="0" applyProtection="0"/>
    <xf numFmtId="0" fontId="8" fillId="21" borderId="232" applyNumberFormat="0" applyFont="0" applyAlignment="0" applyProtection="0"/>
    <xf numFmtId="0" fontId="9" fillId="7" borderId="223" applyNumberFormat="0" applyAlignment="0" applyProtection="0"/>
    <xf numFmtId="0" fontId="8" fillId="21" borderId="224" applyNumberFormat="0" applyFont="0" applyAlignment="0" applyProtection="0"/>
    <xf numFmtId="0" fontId="19" fillId="0" borderId="226" applyNumberFormat="0" applyFill="0" applyAlignment="0" applyProtection="0"/>
    <xf numFmtId="0" fontId="6" fillId="20" borderId="223" applyNumberFormat="0" applyAlignment="0" applyProtection="0"/>
    <xf numFmtId="0" fontId="8" fillId="21" borderId="232" applyNumberFormat="0" applyFont="0" applyAlignment="0" applyProtection="0"/>
    <xf numFmtId="0" fontId="9" fillId="7" borderId="223" applyNumberFormat="0" applyAlignment="0" applyProtection="0"/>
    <xf numFmtId="0" fontId="8" fillId="21" borderId="224" applyNumberFormat="0" applyFont="0" applyAlignment="0" applyProtection="0"/>
    <xf numFmtId="0" fontId="9" fillId="7" borderId="223" applyNumberFormat="0" applyAlignment="0" applyProtection="0"/>
    <xf numFmtId="0" fontId="6" fillId="20" borderId="223" applyNumberFormat="0" applyAlignment="0" applyProtection="0"/>
    <xf numFmtId="0" fontId="6" fillId="20" borderId="231" applyNumberFormat="0" applyAlignment="0" applyProtection="0"/>
    <xf numFmtId="0" fontId="8" fillId="21" borderId="224" applyNumberFormat="0" applyFont="0" applyAlignment="0" applyProtection="0"/>
    <xf numFmtId="0" fontId="8" fillId="21" borderId="224" applyNumberFormat="0" applyFont="0" applyAlignment="0" applyProtection="0"/>
    <xf numFmtId="0" fontId="8" fillId="21" borderId="224" applyNumberFormat="0" applyFont="0" applyAlignment="0" applyProtection="0"/>
    <xf numFmtId="0" fontId="13" fillId="20" borderId="225" applyNumberFormat="0" applyAlignment="0" applyProtection="0"/>
    <xf numFmtId="0" fontId="19" fillId="0" borderId="226" applyNumberFormat="0" applyFill="0" applyAlignment="0" applyProtection="0"/>
    <xf numFmtId="0" fontId="8" fillId="21" borderId="224" applyNumberFormat="0" applyFont="0" applyAlignment="0" applyProtection="0"/>
    <xf numFmtId="0" fontId="9" fillId="7" borderId="223" applyNumberFormat="0" applyAlignment="0" applyProtection="0"/>
    <xf numFmtId="0" fontId="13" fillId="20" borderId="225" applyNumberFormat="0" applyAlignment="0" applyProtection="0"/>
    <xf numFmtId="0" fontId="6" fillId="20" borderId="227" applyNumberFormat="0" applyAlignment="0" applyProtection="0"/>
    <xf numFmtId="0" fontId="19" fillId="0" borderId="234" applyNumberFormat="0" applyFill="0" applyAlignment="0" applyProtection="0"/>
    <xf numFmtId="0" fontId="13" fillId="20" borderId="225" applyNumberFormat="0" applyAlignment="0" applyProtection="0"/>
    <xf numFmtId="0" fontId="13" fillId="20" borderId="225" applyNumberFormat="0" applyAlignment="0" applyProtection="0"/>
    <xf numFmtId="0" fontId="9" fillId="7" borderId="223" applyNumberFormat="0" applyAlignment="0" applyProtection="0"/>
    <xf numFmtId="0" fontId="9" fillId="7" borderId="223" applyNumberFormat="0" applyAlignment="0" applyProtection="0"/>
    <xf numFmtId="0" fontId="19" fillId="0" borderId="234" applyNumberFormat="0" applyFill="0" applyAlignment="0" applyProtection="0"/>
    <xf numFmtId="0" fontId="6" fillId="20" borderId="223" applyNumberFormat="0" applyAlignment="0" applyProtection="0"/>
    <xf numFmtId="0" fontId="19" fillId="0" borderId="234" applyNumberFormat="0" applyFill="0" applyAlignment="0" applyProtection="0"/>
    <xf numFmtId="0" fontId="13" fillId="20" borderId="225" applyNumberFormat="0" applyAlignment="0" applyProtection="0"/>
    <xf numFmtId="0" fontId="6" fillId="20" borderId="223" applyNumberFormat="0" applyAlignment="0" applyProtection="0"/>
    <xf numFmtId="0" fontId="9" fillId="7" borderId="231" applyNumberFormat="0" applyAlignment="0" applyProtection="0"/>
    <xf numFmtId="0" fontId="13" fillId="20" borderId="225" applyNumberFormat="0" applyAlignment="0" applyProtection="0"/>
    <xf numFmtId="0" fontId="13" fillId="20" borderId="225" applyNumberFormat="0" applyAlignment="0" applyProtection="0"/>
    <xf numFmtId="0" fontId="19" fillId="0" borderId="226" applyNumberFormat="0" applyFill="0" applyAlignment="0" applyProtection="0"/>
    <xf numFmtId="0" fontId="13" fillId="20" borderId="225" applyNumberFormat="0" applyAlignment="0" applyProtection="0"/>
    <xf numFmtId="0" fontId="8" fillId="21" borderId="224" applyNumberFormat="0" applyFont="0" applyAlignment="0" applyProtection="0"/>
    <xf numFmtId="0" fontId="6" fillId="20" borderId="223" applyNumberFormat="0" applyAlignment="0" applyProtection="0"/>
    <xf numFmtId="0" fontId="13" fillId="20" borderId="225" applyNumberFormat="0" applyAlignment="0" applyProtection="0"/>
    <xf numFmtId="0" fontId="8" fillId="21" borderId="224" applyNumberFormat="0" applyFont="0" applyAlignment="0" applyProtection="0"/>
    <xf numFmtId="0" fontId="6" fillId="20" borderId="223" applyNumberFormat="0" applyAlignment="0" applyProtection="0"/>
    <xf numFmtId="0" fontId="9" fillId="7" borderId="223" applyNumberFormat="0" applyAlignment="0" applyProtection="0"/>
    <xf numFmtId="0" fontId="9" fillId="7" borderId="223" applyNumberFormat="0" applyAlignment="0" applyProtection="0"/>
    <xf numFmtId="0" fontId="9" fillId="7" borderId="223" applyNumberFormat="0" applyAlignment="0" applyProtection="0"/>
    <xf numFmtId="0" fontId="9" fillId="7" borderId="223" applyNumberFormat="0" applyAlignment="0" applyProtection="0"/>
    <xf numFmtId="0" fontId="8" fillId="21" borderId="224" applyNumberFormat="0" applyFont="0" applyAlignment="0" applyProtection="0"/>
    <xf numFmtId="0" fontId="9" fillId="7" borderId="223" applyNumberFormat="0" applyAlignment="0" applyProtection="0"/>
    <xf numFmtId="0" fontId="19" fillId="0" borderId="226" applyNumberFormat="0" applyFill="0" applyAlignment="0" applyProtection="0"/>
    <xf numFmtId="0" fontId="9" fillId="7" borderId="223" applyNumberFormat="0" applyAlignment="0" applyProtection="0"/>
    <xf numFmtId="0" fontId="19" fillId="0" borderId="226" applyNumberFormat="0" applyFill="0" applyAlignment="0" applyProtection="0"/>
    <xf numFmtId="0" fontId="6" fillId="20" borderId="223" applyNumberFormat="0" applyAlignment="0" applyProtection="0"/>
    <xf numFmtId="0" fontId="19" fillId="0" borderId="226" applyNumberFormat="0" applyFill="0" applyAlignment="0" applyProtection="0"/>
    <xf numFmtId="0" fontId="9" fillId="7" borderId="223" applyNumberFormat="0" applyAlignment="0" applyProtection="0"/>
    <xf numFmtId="0" fontId="13" fillId="20" borderId="225" applyNumberFormat="0" applyAlignment="0" applyProtection="0"/>
    <xf numFmtId="0" fontId="8" fillId="21" borderId="224" applyNumberFormat="0" applyFont="0" applyAlignment="0" applyProtection="0"/>
    <xf numFmtId="0" fontId="9" fillId="7" borderId="227" applyNumberFormat="0" applyAlignment="0" applyProtection="0"/>
    <xf numFmtId="0" fontId="8" fillId="21" borderId="224" applyNumberFormat="0" applyFont="0" applyAlignment="0" applyProtection="0"/>
    <xf numFmtId="0" fontId="9" fillId="7" borderId="223" applyNumberFormat="0" applyAlignment="0" applyProtection="0"/>
    <xf numFmtId="0" fontId="8" fillId="21" borderId="224" applyNumberFormat="0" applyFont="0" applyAlignment="0" applyProtection="0"/>
    <xf numFmtId="0" fontId="19" fillId="0" borderId="226" applyNumberFormat="0" applyFill="0" applyAlignment="0" applyProtection="0"/>
    <xf numFmtId="0" fontId="9" fillId="7" borderId="223" applyNumberFormat="0" applyAlignment="0" applyProtection="0"/>
    <xf numFmtId="0" fontId="19" fillId="0" borderId="226" applyNumberFormat="0" applyFill="0" applyAlignment="0" applyProtection="0"/>
    <xf numFmtId="0" fontId="19" fillId="0" borderId="226" applyNumberFormat="0" applyFill="0" applyAlignment="0" applyProtection="0"/>
    <xf numFmtId="0" fontId="13" fillId="20" borderId="225" applyNumberFormat="0" applyAlignment="0" applyProtection="0"/>
    <xf numFmtId="0" fontId="6" fillId="20" borderId="231" applyNumberFormat="0" applyAlignment="0" applyProtection="0"/>
    <xf numFmtId="0" fontId="6" fillId="20" borderId="231" applyNumberFormat="0" applyAlignment="0" applyProtection="0"/>
    <xf numFmtId="0" fontId="19" fillId="0" borderId="234" applyNumberFormat="0" applyFill="0" applyAlignment="0" applyProtection="0"/>
    <xf numFmtId="0" fontId="19" fillId="0" borderId="230" applyNumberFormat="0" applyFill="0" applyAlignment="0" applyProtection="0"/>
    <xf numFmtId="0" fontId="19" fillId="0" borderId="234"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9" fillId="7" borderId="227" applyNumberFormat="0" applyAlignment="0" applyProtection="0"/>
    <xf numFmtId="0" fontId="8" fillId="21" borderId="228" applyNumberFormat="0" applyFont="0" applyAlignment="0" applyProtection="0"/>
    <xf numFmtId="0" fontId="6" fillId="20" borderId="227" applyNumberFormat="0" applyAlignment="0" applyProtection="0"/>
    <xf numFmtId="0" fontId="9" fillId="7" borderId="227" applyNumberFormat="0" applyAlignment="0" applyProtection="0"/>
    <xf numFmtId="0" fontId="8" fillId="21" borderId="228" applyNumberFormat="0" applyFont="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3" fillId="20" borderId="229" applyNumberFormat="0" applyAlignment="0" applyProtection="0"/>
    <xf numFmtId="0" fontId="13" fillId="20" borderId="229" applyNumberFormat="0" applyAlignment="0" applyProtection="0"/>
    <xf numFmtId="0" fontId="13" fillId="20" borderId="229" applyNumberFormat="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6" fillId="20" borderId="227" applyNumberFormat="0" applyAlignment="0" applyProtection="0"/>
    <xf numFmtId="0" fontId="13" fillId="20" borderId="229" applyNumberFormat="0" applyAlignment="0" applyProtection="0"/>
    <xf numFmtId="0" fontId="8" fillId="21" borderId="228" applyNumberFormat="0" applyFont="0" applyAlignment="0" applyProtection="0"/>
    <xf numFmtId="0" fontId="9" fillId="7" borderId="227" applyNumberFormat="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9" fillId="7" borderId="227" applyNumberFormat="0" applyAlignment="0" applyProtection="0"/>
    <xf numFmtId="0" fontId="13" fillId="20" borderId="229"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9" fillId="7" borderId="227" applyNumberFormat="0" applyAlignment="0" applyProtection="0"/>
    <xf numFmtId="0" fontId="8" fillId="21" borderId="228" applyNumberFormat="0" applyFont="0" applyAlignment="0" applyProtection="0"/>
    <xf numFmtId="0" fontId="8" fillId="21" borderId="228" applyNumberFormat="0" applyFont="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9" fillId="7" borderId="227" applyNumberFormat="0" applyAlignment="0" applyProtection="0"/>
    <xf numFmtId="0" fontId="8" fillId="21" borderId="228" applyNumberFormat="0" applyFont="0" applyAlignment="0" applyProtection="0"/>
    <xf numFmtId="0" fontId="13" fillId="20" borderId="229" applyNumberForma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3" fillId="20" borderId="229" applyNumberFormat="0" applyAlignment="0" applyProtection="0"/>
    <xf numFmtId="0" fontId="19" fillId="0" borderId="230" applyNumberFormat="0" applyFill="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4"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9" fillId="7" borderId="227" applyNumberFormat="0" applyAlignment="0" applyProtection="0"/>
    <xf numFmtId="0" fontId="8" fillId="21" borderId="228" applyNumberFormat="0" applyFont="0" applyAlignment="0" applyProtection="0"/>
    <xf numFmtId="0" fontId="6" fillId="20" borderId="227" applyNumberFormat="0" applyAlignment="0" applyProtection="0"/>
    <xf numFmtId="0" fontId="9" fillId="7" borderId="227" applyNumberFormat="0" applyAlignment="0" applyProtection="0"/>
    <xf numFmtId="0" fontId="8" fillId="21" borderId="228" applyNumberFormat="0" applyFont="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3" fillId="20" borderId="229" applyNumberFormat="0" applyAlignment="0" applyProtection="0"/>
    <xf numFmtId="0" fontId="13" fillId="20" borderId="229" applyNumberFormat="0" applyAlignment="0" applyProtection="0"/>
    <xf numFmtId="0" fontId="13" fillId="20" borderId="229" applyNumberFormat="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6" fillId="20" borderId="227" applyNumberFormat="0" applyAlignment="0" applyProtection="0"/>
    <xf numFmtId="0" fontId="13" fillId="20" borderId="229" applyNumberFormat="0" applyAlignment="0" applyProtection="0"/>
    <xf numFmtId="0" fontId="8" fillId="21" borderId="228" applyNumberFormat="0" applyFont="0" applyAlignment="0" applyProtection="0"/>
    <xf numFmtId="0" fontId="9" fillId="7" borderId="227" applyNumberFormat="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9" fillId="7" borderId="227" applyNumberFormat="0" applyAlignment="0" applyProtection="0"/>
    <xf numFmtId="0" fontId="13" fillId="20" borderId="229"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9" fillId="7" borderId="227" applyNumberFormat="0" applyAlignment="0" applyProtection="0"/>
    <xf numFmtId="0" fontId="8" fillId="21" borderId="228" applyNumberFormat="0" applyFont="0" applyAlignment="0" applyProtection="0"/>
    <xf numFmtId="0" fontId="8" fillId="21" borderId="228" applyNumberFormat="0" applyFont="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9" fillId="7" borderId="227" applyNumberFormat="0" applyAlignment="0" applyProtection="0"/>
    <xf numFmtId="0" fontId="8" fillId="21" borderId="228" applyNumberFormat="0" applyFont="0" applyAlignment="0" applyProtection="0"/>
    <xf numFmtId="0" fontId="13" fillId="20" borderId="229" applyNumberForma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3" fillId="20" borderId="229" applyNumberFormat="0" applyAlignment="0" applyProtection="0"/>
    <xf numFmtId="0" fontId="19" fillId="0" borderId="230" applyNumberFormat="0" applyFill="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9" fillId="0" borderId="230" applyNumberFormat="0" applyFill="0" applyAlignment="0" applyProtection="0"/>
    <xf numFmtId="0" fontId="6" fillId="20" borderId="227" applyNumberFormat="0" applyAlignment="0" applyProtection="0"/>
    <xf numFmtId="0" fontId="8" fillId="21" borderId="228" applyNumberFormat="0" applyFont="0" applyAlignment="0" applyProtection="0"/>
    <xf numFmtId="0" fontId="9" fillId="7" borderId="227" applyNumberFormat="0" applyAlignment="0" applyProtection="0"/>
    <xf numFmtId="0" fontId="13" fillId="20" borderId="229" applyNumberFormat="0" applyAlignment="0" applyProtection="0"/>
    <xf numFmtId="0" fontId="19" fillId="0" borderId="230" applyNumberFormat="0" applyFill="0" applyAlignment="0" applyProtection="0"/>
    <xf numFmtId="0" fontId="13" fillId="20" borderId="233" applyNumberFormat="0" applyAlignment="0" applyProtection="0"/>
    <xf numFmtId="0" fontId="6" fillId="20" borderId="231" applyNumberFormat="0" applyAlignment="0" applyProtection="0"/>
    <xf numFmtId="0" fontId="9" fillId="7" borderId="231" applyNumberFormat="0" applyAlignment="0" applyProtection="0"/>
    <xf numFmtId="0" fontId="13" fillId="20" borderId="233" applyNumberFormat="0" applyAlignment="0" applyProtection="0"/>
    <xf numFmtId="0" fontId="13" fillId="20" borderId="233" applyNumberFormat="0" applyAlignment="0" applyProtection="0"/>
    <xf numFmtId="0" fontId="19" fillId="0" borderId="234" applyNumberFormat="0" applyFill="0" applyAlignment="0" applyProtection="0"/>
    <xf numFmtId="0" fontId="13" fillId="20" borderId="233" applyNumberFormat="0" applyAlignment="0" applyProtection="0"/>
    <xf numFmtId="0" fontId="13" fillId="20" borderId="233" applyNumberFormat="0" applyAlignment="0" applyProtection="0"/>
    <xf numFmtId="0" fontId="9" fillId="7" borderId="231" applyNumberFormat="0" applyAlignment="0" applyProtection="0"/>
    <xf numFmtId="0" fontId="13" fillId="20" borderId="233" applyNumberFormat="0" applyAlignment="0" applyProtection="0"/>
    <xf numFmtId="0" fontId="9" fillId="7" borderId="231" applyNumberFormat="0" applyAlignment="0" applyProtection="0"/>
    <xf numFmtId="0" fontId="8" fillId="21" borderId="232" applyNumberFormat="0" applyFont="0" applyAlignment="0" applyProtection="0"/>
    <xf numFmtId="0" fontId="8" fillId="21" borderId="232" applyNumberFormat="0" applyFont="0" applyAlignment="0" applyProtection="0"/>
    <xf numFmtId="0" fontId="19" fillId="0" borderId="234" applyNumberFormat="0" applyFill="0" applyAlignment="0" applyProtection="0"/>
    <xf numFmtId="0" fontId="19" fillId="0" borderId="234" applyNumberFormat="0" applyFill="0" applyAlignment="0" applyProtection="0"/>
    <xf numFmtId="0" fontId="8" fillId="21" borderId="232" applyNumberFormat="0" applyFont="0" applyAlignment="0" applyProtection="0"/>
    <xf numFmtId="0" fontId="9" fillId="7" borderId="231" applyNumberFormat="0" applyAlignment="0" applyProtection="0"/>
    <xf numFmtId="0" fontId="9" fillId="7" borderId="231" applyNumberFormat="0" applyAlignment="0" applyProtection="0"/>
    <xf numFmtId="0" fontId="13" fillId="20" borderId="233" applyNumberFormat="0" applyAlignment="0" applyProtection="0"/>
    <xf numFmtId="0" fontId="9" fillId="7" borderId="231" applyNumberFormat="0" applyAlignment="0" applyProtection="0"/>
    <xf numFmtId="0" fontId="19" fillId="0" borderId="234" applyNumberFormat="0" applyFill="0" applyAlignment="0" applyProtection="0"/>
    <xf numFmtId="0" fontId="6" fillId="20" borderId="231" applyNumberFormat="0" applyAlignment="0" applyProtection="0"/>
    <xf numFmtId="0" fontId="19" fillId="0" borderId="234" applyNumberFormat="0" applyFill="0" applyAlignment="0" applyProtection="0"/>
    <xf numFmtId="0" fontId="13" fillId="20" borderId="233" applyNumberFormat="0" applyAlignment="0" applyProtection="0"/>
    <xf numFmtId="0" fontId="13" fillId="20" borderId="233" applyNumberFormat="0" applyAlignment="0" applyProtection="0"/>
    <xf numFmtId="0" fontId="19" fillId="0" borderId="234" applyNumberFormat="0" applyFill="0" applyAlignment="0" applyProtection="0"/>
    <xf numFmtId="0" fontId="19" fillId="0" borderId="234" applyNumberFormat="0" applyFill="0" applyAlignment="0" applyProtection="0"/>
    <xf numFmtId="0" fontId="8" fillId="21" borderId="232" applyNumberFormat="0" applyFont="0" applyAlignment="0" applyProtection="0"/>
    <xf numFmtId="0" fontId="13" fillId="20" borderId="233" applyNumberFormat="0" applyAlignment="0" applyProtection="0"/>
    <xf numFmtId="0" fontId="13" fillId="20" borderId="233" applyNumberFormat="0" applyAlignment="0" applyProtection="0"/>
    <xf numFmtId="0" fontId="13" fillId="20" borderId="233" applyNumberFormat="0" applyAlignment="0" applyProtection="0"/>
    <xf numFmtId="0" fontId="8" fillId="21" borderId="232" applyNumberFormat="0" applyFont="0" applyAlignment="0" applyProtection="0"/>
    <xf numFmtId="0" fontId="8" fillId="21" borderId="232" applyNumberFormat="0" applyFont="0" applyAlignment="0" applyProtection="0"/>
    <xf numFmtId="0" fontId="13" fillId="20" borderId="233" applyNumberFormat="0" applyAlignment="0" applyProtection="0"/>
    <xf numFmtId="0" fontId="13" fillId="20" borderId="233" applyNumberFormat="0" applyAlignment="0" applyProtection="0"/>
    <xf numFmtId="0" fontId="8" fillId="21" borderId="232" applyNumberFormat="0" applyFont="0" applyAlignment="0" applyProtection="0"/>
    <xf numFmtId="0" fontId="13" fillId="20" borderId="233" applyNumberFormat="0" applyAlignment="0" applyProtection="0"/>
    <xf numFmtId="0" fontId="8" fillId="21" borderId="232" applyNumberFormat="0" applyFont="0" applyAlignment="0" applyProtection="0"/>
    <xf numFmtId="0" fontId="9" fillId="7" borderId="231" applyNumberFormat="0" applyAlignment="0" applyProtection="0"/>
    <xf numFmtId="0" fontId="6" fillId="20" borderId="231" applyNumberFormat="0" applyAlignment="0" applyProtection="0"/>
    <xf numFmtId="0" fontId="19" fillId="0" borderId="234" applyNumberFormat="0" applyFill="0" applyAlignment="0" applyProtection="0"/>
    <xf numFmtId="0" fontId="19" fillId="0" borderId="234" applyNumberFormat="0" applyFill="0" applyAlignment="0" applyProtection="0"/>
    <xf numFmtId="0" fontId="9" fillId="7" borderId="231" applyNumberFormat="0" applyAlignment="0" applyProtection="0"/>
    <xf numFmtId="0" fontId="19" fillId="0" borderId="234" applyNumberFormat="0" applyFill="0" applyAlignment="0" applyProtection="0"/>
    <xf numFmtId="0" fontId="9" fillId="7" borderId="231" applyNumberFormat="0" applyAlignment="0" applyProtection="0"/>
    <xf numFmtId="0" fontId="13" fillId="20" borderId="233" applyNumberFormat="0" applyAlignment="0" applyProtection="0"/>
    <xf numFmtId="0" fontId="13" fillId="20" borderId="233" applyNumberFormat="0" applyAlignment="0" applyProtection="0"/>
    <xf numFmtId="0" fontId="19" fillId="0" borderId="234" applyNumberFormat="0" applyFill="0" applyAlignment="0" applyProtection="0"/>
    <xf numFmtId="0" fontId="19" fillId="0" borderId="234" applyNumberFormat="0" applyFill="0" applyAlignment="0" applyProtection="0"/>
    <xf numFmtId="0" fontId="13" fillId="20" borderId="233" applyNumberFormat="0" applyAlignment="0" applyProtection="0"/>
    <xf numFmtId="0" fontId="19" fillId="0" borderId="234" applyNumberFormat="0" applyFill="0" applyAlignment="0" applyProtection="0"/>
    <xf numFmtId="0" fontId="13" fillId="20" borderId="233" applyNumberFormat="0" applyAlignment="0" applyProtection="0"/>
    <xf numFmtId="0" fontId="19" fillId="0" borderId="234" applyNumberFormat="0" applyFill="0" applyAlignment="0" applyProtection="0"/>
    <xf numFmtId="0" fontId="19" fillId="0" borderId="234" applyNumberFormat="0" applyFill="0" applyAlignment="0" applyProtection="0"/>
    <xf numFmtId="0" fontId="8" fillId="21" borderId="232" applyNumberFormat="0" applyFont="0" applyAlignment="0" applyProtection="0"/>
    <xf numFmtId="0" fontId="19" fillId="0" borderId="234" applyNumberFormat="0" applyFill="0" applyAlignment="0" applyProtection="0"/>
    <xf numFmtId="0" fontId="9" fillId="7" borderId="231" applyNumberFormat="0" applyAlignment="0" applyProtection="0"/>
    <xf numFmtId="0" fontId="19" fillId="0" borderId="234" applyNumberFormat="0" applyFill="0" applyAlignment="0" applyProtection="0"/>
    <xf numFmtId="0" fontId="8" fillId="21" borderId="232" applyNumberFormat="0" applyFont="0" applyAlignment="0" applyProtection="0"/>
    <xf numFmtId="0" fontId="9" fillId="7" borderId="231" applyNumberFormat="0" applyAlignment="0" applyProtection="0"/>
    <xf numFmtId="0" fontId="19" fillId="0" borderId="234" applyNumberFormat="0" applyFill="0" applyAlignment="0" applyProtection="0"/>
    <xf numFmtId="0" fontId="13" fillId="20" borderId="233" applyNumberFormat="0" applyAlignment="0" applyProtection="0"/>
    <xf numFmtId="0" fontId="13" fillId="20" borderId="233" applyNumberFormat="0" applyAlignment="0" applyProtection="0"/>
    <xf numFmtId="0" fontId="6" fillId="20" borderId="231" applyNumberFormat="0" applyAlignment="0" applyProtection="0"/>
    <xf numFmtId="0" fontId="6" fillId="20" borderId="231" applyNumberFormat="0" applyAlignment="0" applyProtection="0"/>
    <xf numFmtId="0" fontId="19" fillId="0" borderId="234" applyNumberFormat="0" applyFill="0" applyAlignment="0" applyProtection="0"/>
    <xf numFmtId="0" fontId="6" fillId="20" borderId="231" applyNumberFormat="0" applyAlignment="0" applyProtection="0"/>
    <xf numFmtId="0" fontId="8" fillId="21" borderId="232" applyNumberFormat="0" applyFont="0" applyAlignment="0" applyProtection="0"/>
    <xf numFmtId="0" fontId="8" fillId="21" borderId="232" applyNumberFormat="0" applyFont="0" applyAlignment="0" applyProtection="0"/>
    <xf numFmtId="0" fontId="6" fillId="20" borderId="231" applyNumberFormat="0" applyAlignment="0" applyProtection="0"/>
    <xf numFmtId="0" fontId="6" fillId="20" borderId="231" applyNumberFormat="0" applyAlignment="0" applyProtection="0"/>
    <xf numFmtId="0" fontId="9" fillId="7" borderId="231" applyNumberFormat="0" applyAlignment="0" applyProtection="0"/>
    <xf numFmtId="0" fontId="19" fillId="0" borderId="234" applyNumberFormat="0" applyFill="0" applyAlignment="0" applyProtection="0"/>
    <xf numFmtId="0" fontId="19" fillId="0" borderId="234" applyNumberFormat="0" applyFill="0" applyAlignment="0" applyProtection="0"/>
    <xf numFmtId="0" fontId="6" fillId="20" borderId="231" applyNumberFormat="0" applyAlignment="0" applyProtection="0"/>
    <xf numFmtId="0" fontId="8" fillId="21" borderId="232" applyNumberFormat="0" applyFont="0" applyAlignment="0" applyProtection="0"/>
    <xf numFmtId="0" fontId="6" fillId="20" borderId="231" applyNumberFormat="0" applyAlignment="0" applyProtection="0"/>
    <xf numFmtId="0" fontId="9" fillId="7" borderId="231" applyNumberFormat="0" applyAlignment="0" applyProtection="0"/>
    <xf numFmtId="0" fontId="8" fillId="21" borderId="232" applyNumberFormat="0" applyFont="0" applyAlignment="0" applyProtection="0"/>
    <xf numFmtId="0" fontId="9" fillId="7" borderId="231" applyNumberFormat="0" applyAlignment="0" applyProtection="0"/>
    <xf numFmtId="0" fontId="13" fillId="20" borderId="233" applyNumberFormat="0" applyAlignment="0" applyProtection="0"/>
    <xf numFmtId="0" fontId="13" fillId="20" borderId="233" applyNumberFormat="0" applyAlignment="0" applyProtection="0"/>
    <xf numFmtId="0" fontId="13" fillId="20" borderId="233" applyNumberFormat="0" applyAlignment="0" applyProtection="0"/>
    <xf numFmtId="0" fontId="8" fillId="21" borderId="236" applyNumberFormat="0" applyFont="0" applyAlignment="0" applyProtection="0"/>
    <xf numFmtId="0" fontId="9" fillId="7" borderId="231" applyNumberFormat="0" applyAlignment="0" applyProtection="0"/>
    <xf numFmtId="0" fontId="6" fillId="20" borderId="231" applyNumberFormat="0" applyAlignment="0" applyProtection="0"/>
    <xf numFmtId="0" fontId="6" fillId="20" borderId="231" applyNumberFormat="0" applyAlignment="0" applyProtection="0"/>
    <xf numFmtId="0" fontId="6" fillId="20" borderId="231" applyNumberFormat="0" applyAlignment="0" applyProtection="0"/>
    <xf numFmtId="0" fontId="13" fillId="20" borderId="233" applyNumberFormat="0" applyAlignment="0" applyProtection="0"/>
    <xf numFmtId="0" fontId="8" fillId="21" borderId="232" applyNumberFormat="0" applyFont="0" applyAlignment="0" applyProtection="0"/>
    <xf numFmtId="0" fontId="9" fillId="7" borderId="231" applyNumberFormat="0" applyAlignment="0" applyProtection="0"/>
    <xf numFmtId="0" fontId="8" fillId="21" borderId="232" applyNumberFormat="0" applyFont="0" applyAlignment="0" applyProtection="0"/>
    <xf numFmtId="0" fontId="13" fillId="20" borderId="233" applyNumberFormat="0" applyAlignment="0" applyProtection="0"/>
    <xf numFmtId="0" fontId="13" fillId="20" borderId="233" applyNumberFormat="0" applyAlignment="0" applyProtection="0"/>
    <xf numFmtId="0" fontId="8" fillId="21" borderId="232" applyNumberFormat="0" applyFont="0" applyAlignment="0" applyProtection="0"/>
    <xf numFmtId="0" fontId="9" fillId="7" borderId="231" applyNumberFormat="0" applyAlignment="0" applyProtection="0"/>
    <xf numFmtId="0" fontId="19" fillId="0" borderId="234" applyNumberFormat="0" applyFill="0" applyAlignment="0" applyProtection="0"/>
    <xf numFmtId="0" fontId="9" fillId="7" borderId="231" applyNumberFormat="0" applyAlignment="0" applyProtection="0"/>
    <xf numFmtId="0" fontId="6" fillId="20" borderId="231" applyNumberFormat="0" applyAlignment="0" applyProtection="0"/>
    <xf numFmtId="0" fontId="9" fillId="7" borderId="231" applyNumberFormat="0" applyAlignment="0" applyProtection="0"/>
    <xf numFmtId="0" fontId="13" fillId="20" borderId="233" applyNumberFormat="0" applyAlignment="0" applyProtection="0"/>
    <xf numFmtId="0" fontId="6" fillId="20" borderId="231" applyNumberFormat="0" applyAlignment="0" applyProtection="0"/>
    <xf numFmtId="0" fontId="6" fillId="20" borderId="231" applyNumberFormat="0" applyAlignment="0" applyProtection="0"/>
    <xf numFmtId="0" fontId="13" fillId="20" borderId="237" applyNumberFormat="0" applyAlignment="0" applyProtection="0"/>
    <xf numFmtId="0" fontId="13" fillId="20" borderId="233" applyNumberFormat="0" applyAlignment="0" applyProtection="0"/>
    <xf numFmtId="0" fontId="9" fillId="7" borderId="231" applyNumberFormat="0" applyAlignment="0" applyProtection="0"/>
    <xf numFmtId="0" fontId="13" fillId="20" borderId="233" applyNumberFormat="0" applyAlignment="0" applyProtection="0"/>
    <xf numFmtId="0" fontId="8" fillId="21" borderId="232" applyNumberFormat="0" applyFont="0" applyAlignment="0" applyProtection="0"/>
    <xf numFmtId="0" fontId="13" fillId="20" borderId="233" applyNumberFormat="0" applyAlignment="0" applyProtection="0"/>
    <xf numFmtId="0" fontId="9" fillId="7" borderId="231" applyNumberFormat="0" applyAlignment="0" applyProtection="0"/>
    <xf numFmtId="0" fontId="6" fillId="20" borderId="235" applyNumberFormat="0" applyAlignment="0" applyProtection="0"/>
    <xf numFmtId="0" fontId="19" fillId="0" borderId="234" applyNumberFormat="0" applyFill="0" applyAlignment="0" applyProtection="0"/>
    <xf numFmtId="0" fontId="19" fillId="0" borderId="234" applyNumberFormat="0" applyFill="0" applyAlignment="0" applyProtection="0"/>
    <xf numFmtId="0" fontId="8" fillId="21" borderId="232" applyNumberFormat="0" applyFont="0" applyAlignment="0" applyProtection="0"/>
    <xf numFmtId="0" fontId="9" fillId="7" borderId="231" applyNumberFormat="0" applyAlignment="0" applyProtection="0"/>
    <xf numFmtId="0" fontId="6" fillId="20" borderId="231" applyNumberFormat="0" applyAlignment="0" applyProtection="0"/>
    <xf numFmtId="0" fontId="13" fillId="20" borderId="233" applyNumberFormat="0" applyAlignment="0" applyProtection="0"/>
    <xf numFmtId="0" fontId="9" fillId="7" borderId="231" applyNumberFormat="0" applyAlignment="0" applyProtection="0"/>
    <xf numFmtId="0" fontId="8" fillId="21" borderId="232" applyNumberFormat="0" applyFont="0" applyAlignment="0" applyProtection="0"/>
    <xf numFmtId="0" fontId="19" fillId="0" borderId="234" applyNumberFormat="0" applyFill="0" applyAlignment="0" applyProtection="0"/>
    <xf numFmtId="0" fontId="6" fillId="20" borderId="231" applyNumberFormat="0" applyAlignment="0" applyProtection="0"/>
    <xf numFmtId="0" fontId="19" fillId="0" borderId="234" applyNumberFormat="0" applyFill="0" applyAlignment="0" applyProtection="0"/>
    <xf numFmtId="0" fontId="8" fillId="21" borderId="232" applyNumberFormat="0" applyFont="0" applyAlignment="0" applyProtection="0"/>
    <xf numFmtId="0" fontId="8" fillId="21" borderId="232" applyNumberFormat="0" applyFont="0" applyAlignment="0" applyProtection="0"/>
    <xf numFmtId="0" fontId="19" fillId="0" borderId="234" applyNumberFormat="0" applyFill="0" applyAlignment="0" applyProtection="0"/>
    <xf numFmtId="0" fontId="19" fillId="0" borderId="234" applyNumberFormat="0" applyFill="0" applyAlignment="0" applyProtection="0"/>
    <xf numFmtId="0" fontId="9" fillId="7" borderId="231" applyNumberFormat="0" applyAlignment="0" applyProtection="0"/>
    <xf numFmtId="0" fontId="8" fillId="21" borderId="232" applyNumberFormat="0" applyFont="0" applyAlignment="0" applyProtection="0"/>
    <xf numFmtId="0" fontId="9" fillId="7" borderId="231" applyNumberFormat="0" applyAlignment="0" applyProtection="0"/>
    <xf numFmtId="0" fontId="8" fillId="21" borderId="232" applyNumberFormat="0" applyFont="0" applyAlignment="0" applyProtection="0"/>
    <xf numFmtId="0" fontId="6" fillId="20" borderId="231" applyNumberFormat="0" applyAlignment="0" applyProtection="0"/>
    <xf numFmtId="0" fontId="6" fillId="20" borderId="231" applyNumberFormat="0" applyAlignment="0" applyProtection="0"/>
    <xf numFmtId="0" fontId="9" fillId="7" borderId="231" applyNumberFormat="0" applyAlignment="0" applyProtection="0"/>
    <xf numFmtId="0" fontId="6" fillId="20" borderId="231" applyNumberFormat="0" applyAlignment="0" applyProtection="0"/>
    <xf numFmtId="0" fontId="9" fillId="7" borderId="231" applyNumberFormat="0" applyAlignment="0" applyProtection="0"/>
    <xf numFmtId="0" fontId="8" fillId="21" borderId="232" applyNumberFormat="0" applyFont="0" applyAlignment="0" applyProtection="0"/>
    <xf numFmtId="0" fontId="9" fillId="7" borderId="235" applyNumberFormat="0" applyAlignment="0" applyProtection="0"/>
    <xf numFmtId="0" fontId="19" fillId="0" borderId="234" applyNumberFormat="0" applyFill="0" applyAlignment="0" applyProtection="0"/>
    <xf numFmtId="0" fontId="6" fillId="20" borderId="231" applyNumberFormat="0" applyAlignment="0" applyProtection="0"/>
    <xf numFmtId="0" fontId="9" fillId="7" borderId="231" applyNumberFormat="0" applyAlignment="0" applyProtection="0"/>
    <xf numFmtId="0" fontId="13" fillId="20" borderId="233" applyNumberFormat="0" applyAlignment="0" applyProtection="0"/>
    <xf numFmtId="0" fontId="9" fillId="7" borderId="231" applyNumberFormat="0" applyAlignment="0" applyProtection="0"/>
    <xf numFmtId="0" fontId="13" fillId="20" borderId="233" applyNumberFormat="0" applyAlignment="0" applyProtection="0"/>
    <xf numFmtId="0" fontId="13" fillId="20" borderId="233" applyNumberFormat="0" applyAlignment="0" applyProtection="0"/>
    <xf numFmtId="0" fontId="9" fillId="7" borderId="231" applyNumberFormat="0" applyAlignment="0" applyProtection="0"/>
    <xf numFmtId="0" fontId="8" fillId="21" borderId="232" applyNumberFormat="0" applyFont="0" applyAlignment="0" applyProtection="0"/>
    <xf numFmtId="0" fontId="19" fillId="0" borderId="234" applyNumberFormat="0" applyFill="0" applyAlignment="0" applyProtection="0"/>
    <xf numFmtId="0" fontId="9" fillId="7" borderId="231" applyNumberFormat="0" applyAlignment="0" applyProtection="0"/>
    <xf numFmtId="0" fontId="8" fillId="21" borderId="232" applyNumberFormat="0" applyFont="0" applyAlignment="0" applyProtection="0"/>
    <xf numFmtId="0" fontId="6" fillId="20" borderId="231" applyNumberFormat="0" applyAlignment="0" applyProtection="0"/>
    <xf numFmtId="0" fontId="9" fillId="7" borderId="231" applyNumberFormat="0" applyAlignment="0" applyProtection="0"/>
    <xf numFmtId="0" fontId="6" fillId="20" borderId="231" applyNumberFormat="0" applyAlignment="0" applyProtection="0"/>
    <xf numFmtId="0" fontId="8" fillId="21" borderId="232" applyNumberFormat="0" applyFont="0" applyAlignment="0" applyProtection="0"/>
    <xf numFmtId="0" fontId="8" fillId="21" borderId="232" applyNumberFormat="0" applyFont="0" applyAlignment="0" applyProtection="0"/>
    <xf numFmtId="0" fontId="19" fillId="0" borderId="234" applyNumberFormat="0" applyFill="0" applyAlignment="0" applyProtection="0"/>
    <xf numFmtId="0" fontId="6" fillId="20" borderId="231" applyNumberFormat="0" applyAlignment="0" applyProtection="0"/>
    <xf numFmtId="0" fontId="13" fillId="20" borderId="233" applyNumberFormat="0" applyAlignment="0" applyProtection="0"/>
    <xf numFmtId="0" fontId="13" fillId="20" borderId="233" applyNumberFormat="0" applyAlignment="0" applyProtection="0"/>
    <xf numFmtId="0" fontId="6" fillId="20" borderId="231" applyNumberFormat="0" applyAlignment="0" applyProtection="0"/>
    <xf numFmtId="0" fontId="19" fillId="0" borderId="234" applyNumberFormat="0" applyFill="0" applyAlignment="0" applyProtection="0"/>
    <xf numFmtId="0" fontId="6" fillId="20" borderId="231" applyNumberFormat="0" applyAlignment="0" applyProtection="0"/>
    <xf numFmtId="0" fontId="19" fillId="0" borderId="234" applyNumberFormat="0" applyFill="0" applyAlignment="0" applyProtection="0"/>
    <xf numFmtId="0" fontId="8" fillId="21" borderId="232" applyNumberFormat="0" applyFont="0" applyAlignment="0" applyProtection="0"/>
    <xf numFmtId="0" fontId="8" fillId="21" borderId="232" applyNumberFormat="0" applyFont="0" applyAlignment="0" applyProtection="0"/>
    <xf numFmtId="0" fontId="19" fillId="0" borderId="234" applyNumberFormat="0" applyFill="0" applyAlignment="0" applyProtection="0"/>
    <xf numFmtId="0" fontId="8" fillId="21" borderId="232" applyNumberFormat="0" applyFont="0" applyAlignment="0" applyProtection="0"/>
    <xf numFmtId="0" fontId="6" fillId="20" borderId="231" applyNumberFormat="0" applyAlignment="0" applyProtection="0"/>
    <xf numFmtId="0" fontId="9" fillId="7" borderId="231" applyNumberFormat="0" applyAlignment="0" applyProtection="0"/>
    <xf numFmtId="0" fontId="19" fillId="0" borderId="234" applyNumberFormat="0" applyFill="0" applyAlignment="0" applyProtection="0"/>
    <xf numFmtId="0" fontId="6" fillId="20" borderId="231" applyNumberFormat="0" applyAlignment="0" applyProtection="0"/>
    <xf numFmtId="0" fontId="13" fillId="20" borderId="233" applyNumberFormat="0" applyAlignment="0" applyProtection="0"/>
    <xf numFmtId="0" fontId="6" fillId="20" borderId="231" applyNumberFormat="0" applyAlignment="0" applyProtection="0"/>
    <xf numFmtId="0" fontId="6" fillId="20" borderId="231" applyNumberFormat="0" applyAlignment="0" applyProtection="0"/>
    <xf numFmtId="0" fontId="9" fillId="7" borderId="231" applyNumberFormat="0" applyAlignment="0" applyProtection="0"/>
    <xf numFmtId="0" fontId="9" fillId="7" borderId="231" applyNumberFormat="0" applyAlignment="0" applyProtection="0"/>
    <xf numFmtId="0" fontId="9" fillId="7" borderId="231" applyNumberFormat="0" applyAlignment="0" applyProtection="0"/>
    <xf numFmtId="0" fontId="8" fillId="21" borderId="232" applyNumberFormat="0" applyFont="0" applyAlignment="0" applyProtection="0"/>
    <xf numFmtId="0" fontId="6" fillId="20" borderId="231" applyNumberFormat="0" applyAlignment="0" applyProtection="0"/>
    <xf numFmtId="0" fontId="13" fillId="20" borderId="233" applyNumberFormat="0" applyAlignment="0" applyProtection="0"/>
    <xf numFmtId="0" fontId="19" fillId="0" borderId="234" applyNumberFormat="0" applyFill="0" applyAlignment="0" applyProtection="0"/>
    <xf numFmtId="0" fontId="19" fillId="0" borderId="234" applyNumberFormat="0" applyFill="0" applyAlignment="0" applyProtection="0"/>
    <xf numFmtId="0" fontId="8" fillId="21" borderId="232" applyNumberFormat="0" applyFont="0" applyAlignment="0" applyProtection="0"/>
    <xf numFmtId="0" fontId="13" fillId="20" borderId="233" applyNumberFormat="0" applyAlignment="0" applyProtection="0"/>
    <xf numFmtId="0" fontId="19" fillId="0" borderId="234" applyNumberFormat="0" applyFill="0" applyAlignment="0" applyProtection="0"/>
    <xf numFmtId="0" fontId="9" fillId="7" borderId="231" applyNumberFormat="0" applyAlignment="0" applyProtection="0"/>
    <xf numFmtId="0" fontId="19" fillId="0" borderId="234" applyNumberFormat="0" applyFill="0" applyAlignment="0" applyProtection="0"/>
    <xf numFmtId="0" fontId="13" fillId="20" borderId="233" applyNumberFormat="0" applyAlignment="0" applyProtection="0"/>
    <xf numFmtId="0" fontId="8" fillId="21" borderId="232" applyNumberFormat="0" applyFont="0" applyAlignment="0" applyProtection="0"/>
    <xf numFmtId="0" fontId="6" fillId="20" borderId="231" applyNumberFormat="0" applyAlignment="0" applyProtection="0"/>
    <xf numFmtId="0" fontId="6" fillId="20" borderId="231" applyNumberFormat="0" applyAlignment="0" applyProtection="0"/>
    <xf numFmtId="0" fontId="9" fillId="7" borderId="231" applyNumberFormat="0" applyAlignment="0" applyProtection="0"/>
    <xf numFmtId="0" fontId="6" fillId="20" borderId="231" applyNumberFormat="0" applyAlignment="0" applyProtection="0"/>
    <xf numFmtId="0" fontId="9" fillId="7" borderId="231" applyNumberFormat="0" applyAlignment="0" applyProtection="0"/>
    <xf numFmtId="0" fontId="13" fillId="20" borderId="233" applyNumberFormat="0" applyAlignment="0" applyProtection="0"/>
    <xf numFmtId="0" fontId="8" fillId="21" borderId="232" applyNumberFormat="0" applyFont="0" applyAlignment="0" applyProtection="0"/>
    <xf numFmtId="0" fontId="9" fillId="7" borderId="231" applyNumberFormat="0" applyAlignment="0" applyProtection="0"/>
    <xf numFmtId="0" fontId="9" fillId="7" borderId="231" applyNumberFormat="0" applyAlignment="0" applyProtection="0"/>
    <xf numFmtId="0" fontId="19" fillId="0" borderId="234" applyNumberFormat="0" applyFill="0" applyAlignment="0" applyProtection="0"/>
    <xf numFmtId="0" fontId="6" fillId="20" borderId="231" applyNumberFormat="0" applyAlignment="0" applyProtection="0"/>
    <xf numFmtId="0" fontId="8" fillId="21" borderId="232" applyNumberFormat="0" applyFont="0" applyAlignment="0" applyProtection="0"/>
    <xf numFmtId="0" fontId="9" fillId="7" borderId="231" applyNumberFormat="0" applyAlignment="0" applyProtection="0"/>
    <xf numFmtId="0" fontId="6" fillId="20" borderId="231" applyNumberFormat="0" applyAlignment="0" applyProtection="0"/>
    <xf numFmtId="0" fontId="8" fillId="21" borderId="232" applyNumberFormat="0" applyFont="0" applyAlignment="0" applyProtection="0"/>
    <xf numFmtId="0" fontId="6" fillId="20" borderId="231" applyNumberFormat="0" applyAlignment="0" applyProtection="0"/>
    <xf numFmtId="0" fontId="9" fillId="7" borderId="231" applyNumberFormat="0" applyAlignment="0" applyProtection="0"/>
    <xf numFmtId="0" fontId="13" fillId="20" borderId="233" applyNumberFormat="0" applyAlignment="0" applyProtection="0"/>
    <xf numFmtId="0" fontId="13" fillId="20" borderId="233" applyNumberFormat="0" applyAlignment="0" applyProtection="0"/>
    <xf numFmtId="0" fontId="9" fillId="7" borderId="231" applyNumberFormat="0" applyAlignment="0" applyProtection="0"/>
    <xf numFmtId="0" fontId="8" fillId="21" borderId="232" applyNumberFormat="0" applyFont="0" applyAlignment="0" applyProtection="0"/>
    <xf numFmtId="0" fontId="9" fillId="7" borderId="231" applyNumberFormat="0" applyAlignment="0" applyProtection="0"/>
    <xf numFmtId="0" fontId="13" fillId="20" borderId="233" applyNumberFormat="0" applyAlignment="0" applyProtection="0"/>
    <xf numFmtId="0" fontId="13" fillId="20" borderId="233" applyNumberFormat="0" applyAlignment="0" applyProtection="0"/>
    <xf numFmtId="0" fontId="19" fillId="0" borderId="234"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9" fillId="7" borderId="235" applyNumberFormat="0" applyAlignment="0" applyProtection="0"/>
    <xf numFmtId="0" fontId="8" fillId="21" borderId="236" applyNumberFormat="0" applyFont="0" applyAlignment="0" applyProtection="0"/>
    <xf numFmtId="0" fontId="6" fillId="20" borderId="235" applyNumberFormat="0" applyAlignment="0" applyProtection="0"/>
    <xf numFmtId="0" fontId="9" fillId="7" borderId="235" applyNumberFormat="0" applyAlignment="0" applyProtection="0"/>
    <xf numFmtId="0" fontId="8" fillId="21" borderId="236" applyNumberFormat="0" applyFont="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3" fillId="20" borderId="237" applyNumberFormat="0" applyAlignment="0" applyProtection="0"/>
    <xf numFmtId="0" fontId="13" fillId="20" borderId="237" applyNumberFormat="0" applyAlignment="0" applyProtection="0"/>
    <xf numFmtId="0" fontId="13" fillId="20" borderId="237" applyNumberFormat="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6" fillId="20" borderId="235" applyNumberFormat="0" applyAlignment="0" applyProtection="0"/>
    <xf numFmtId="0" fontId="13" fillId="20" borderId="237" applyNumberFormat="0" applyAlignment="0" applyProtection="0"/>
    <xf numFmtId="0" fontId="8" fillId="21" borderId="236" applyNumberFormat="0" applyFont="0" applyAlignment="0" applyProtection="0"/>
    <xf numFmtId="0" fontId="9" fillId="7" borderId="235" applyNumberFormat="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9" fillId="7" borderId="235" applyNumberFormat="0" applyAlignment="0" applyProtection="0"/>
    <xf numFmtId="0" fontId="13" fillId="20" borderId="237"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9" fillId="7" borderId="235" applyNumberFormat="0" applyAlignment="0" applyProtection="0"/>
    <xf numFmtId="0" fontId="8" fillId="21" borderId="236" applyNumberFormat="0" applyFont="0" applyAlignment="0" applyProtection="0"/>
    <xf numFmtId="0" fontId="8" fillId="21" borderId="236" applyNumberFormat="0" applyFont="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9" fillId="7" borderId="235" applyNumberFormat="0" applyAlignment="0" applyProtection="0"/>
    <xf numFmtId="0" fontId="8" fillId="21" borderId="236" applyNumberFormat="0" applyFont="0" applyAlignment="0" applyProtection="0"/>
    <xf numFmtId="0" fontId="13" fillId="20" borderId="237" applyNumberForma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3" fillId="20" borderId="237" applyNumberFormat="0" applyAlignment="0" applyProtection="0"/>
    <xf numFmtId="0" fontId="19" fillId="0" borderId="238" applyNumberFormat="0" applyFill="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9" fillId="7" borderId="235" applyNumberFormat="0" applyAlignment="0" applyProtection="0"/>
    <xf numFmtId="0" fontId="8" fillId="21" borderId="236" applyNumberFormat="0" applyFont="0" applyAlignment="0" applyProtection="0"/>
    <xf numFmtId="0" fontId="6" fillId="20" borderId="235" applyNumberFormat="0" applyAlignment="0" applyProtection="0"/>
    <xf numFmtId="0" fontId="9" fillId="7" borderId="235" applyNumberFormat="0" applyAlignment="0" applyProtection="0"/>
    <xf numFmtId="0" fontId="8" fillId="21" borderId="236" applyNumberFormat="0" applyFont="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3" fillId="20" borderId="237" applyNumberFormat="0" applyAlignment="0" applyProtection="0"/>
    <xf numFmtId="0" fontId="13" fillId="20" borderId="237" applyNumberFormat="0" applyAlignment="0" applyProtection="0"/>
    <xf numFmtId="0" fontId="13" fillId="20" borderId="237" applyNumberFormat="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6" fillId="20" borderId="235" applyNumberFormat="0" applyAlignment="0" applyProtection="0"/>
    <xf numFmtId="0" fontId="13" fillId="20" borderId="237" applyNumberFormat="0" applyAlignment="0" applyProtection="0"/>
    <xf numFmtId="0" fontId="8" fillId="21" borderId="236" applyNumberFormat="0" applyFont="0" applyAlignment="0" applyProtection="0"/>
    <xf numFmtId="0" fontId="9" fillId="7" borderId="235" applyNumberFormat="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9" fillId="7" borderId="235" applyNumberFormat="0" applyAlignment="0" applyProtection="0"/>
    <xf numFmtId="0" fontId="13" fillId="20" borderId="237"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9" fillId="7" borderId="235" applyNumberFormat="0" applyAlignment="0" applyProtection="0"/>
    <xf numFmtId="0" fontId="8" fillId="21" borderId="236" applyNumberFormat="0" applyFont="0" applyAlignment="0" applyProtection="0"/>
    <xf numFmtId="0" fontId="8" fillId="21" borderId="236" applyNumberFormat="0" applyFont="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9" fillId="7" borderId="235" applyNumberFormat="0" applyAlignment="0" applyProtection="0"/>
    <xf numFmtId="0" fontId="8" fillId="21" borderId="236" applyNumberFormat="0" applyFont="0" applyAlignment="0" applyProtection="0"/>
    <xf numFmtId="0" fontId="13" fillId="20" borderId="237" applyNumberForma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3" fillId="20" borderId="237" applyNumberFormat="0" applyAlignment="0" applyProtection="0"/>
    <xf numFmtId="0" fontId="19" fillId="0" borderId="238" applyNumberFormat="0" applyFill="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xf numFmtId="0" fontId="19" fillId="0" borderId="238" applyNumberFormat="0" applyFill="0" applyAlignment="0" applyProtection="0"/>
    <xf numFmtId="0" fontId="6" fillId="20" borderId="235" applyNumberFormat="0" applyAlignment="0" applyProtection="0"/>
    <xf numFmtId="0" fontId="8" fillId="21" borderId="236" applyNumberFormat="0" applyFont="0" applyAlignment="0" applyProtection="0"/>
    <xf numFmtId="0" fontId="9" fillId="7" borderId="235" applyNumberFormat="0" applyAlignment="0" applyProtection="0"/>
    <xf numFmtId="0" fontId="13" fillId="20" borderId="237" applyNumberFormat="0" applyAlignment="0" applyProtection="0"/>
    <xf numFmtId="0" fontId="19" fillId="0" borderId="238" applyNumberFormat="0" applyFill="0" applyAlignment="0" applyProtection="0"/>
  </cellStyleXfs>
  <cellXfs count="340">
    <xf numFmtId="0" fontId="0" fillId="0" borderId="0" xfId="0"/>
    <xf numFmtId="0" fontId="0" fillId="0" borderId="0" xfId="0" applyAlignment="1">
      <alignment horizontal="left"/>
    </xf>
    <xf numFmtId="0" fontId="0" fillId="0" borderId="0" xfId="0" applyAlignment="1">
      <alignment horizontal="left" vertical="center"/>
    </xf>
    <xf numFmtId="0" fontId="0" fillId="0" borderId="0" xfId="0" applyAlignment="1">
      <alignment horizontal="right"/>
    </xf>
    <xf numFmtId="0" fontId="0" fillId="0" borderId="0" xfId="159" applyNumberFormat="1" applyFont="1"/>
    <xf numFmtId="0" fontId="0" fillId="0" borderId="0" xfId="0" applyAlignment="1">
      <alignment horizontal="center"/>
    </xf>
    <xf numFmtId="0" fontId="0" fillId="0" borderId="0" xfId="159" applyNumberFormat="1" applyFont="1" applyAlignment="1">
      <alignment horizontal="right" vertical="center"/>
    </xf>
    <xf numFmtId="0" fontId="0" fillId="0" borderId="0" xfId="0" applyAlignment="1">
      <alignment horizontal="center" vertical="center"/>
    </xf>
    <xf numFmtId="0" fontId="0" fillId="0" borderId="0" xfId="0" applyAlignment="1">
      <alignment horizontal="left" vertical="center" wrapText="1"/>
    </xf>
    <xf numFmtId="9" fontId="0" fillId="0" borderId="0" xfId="280" applyFont="1"/>
    <xf numFmtId="0" fontId="1" fillId="0" borderId="0" xfId="159" applyNumberFormat="1" applyFont="1" applyAlignment="1">
      <alignment horizontal="center" vertical="center" wrapText="1"/>
    </xf>
    <xf numFmtId="0" fontId="31" fillId="0" borderId="0" xfId="0" applyFont="1" applyAlignment="1">
      <alignment horizontal="right" vertical="center"/>
    </xf>
    <xf numFmtId="0" fontId="33" fillId="0" borderId="127" xfId="0" applyFont="1" applyBorder="1" applyAlignment="1" applyProtection="1">
      <alignment horizontal="right" vertical="center"/>
      <protection locked="0"/>
    </xf>
    <xf numFmtId="0" fontId="33" fillId="0" borderId="128" xfId="0" applyFont="1" applyBorder="1" applyAlignment="1" applyProtection="1">
      <alignment horizontal="right" vertical="center"/>
      <protection locked="0"/>
    </xf>
    <xf numFmtId="0" fontId="33" fillId="0" borderId="125" xfId="0" applyFont="1" applyBorder="1" applyAlignment="1" applyProtection="1">
      <alignment horizontal="right" vertical="center"/>
      <protection locked="0"/>
    </xf>
    <xf numFmtId="1" fontId="0" fillId="0" borderId="0" xfId="0" applyNumberFormat="1" applyAlignment="1">
      <alignment horizontal="right" vertical="center"/>
    </xf>
    <xf numFmtId="0" fontId="0" fillId="28" borderId="0" xfId="0" applyFill="1"/>
    <xf numFmtId="0" fontId="27" fillId="28" borderId="0" xfId="0" applyFont="1" applyFill="1" applyAlignment="1">
      <alignment horizontal="right" vertical="center"/>
    </xf>
    <xf numFmtId="0" fontId="0" fillId="28" borderId="0" xfId="0" applyFill="1" applyAlignment="1">
      <alignment horizontal="left" vertical="center"/>
    </xf>
    <xf numFmtId="0" fontId="26" fillId="28" borderId="0" xfId="0" applyFont="1" applyFill="1"/>
    <xf numFmtId="16" fontId="0" fillId="28" borderId="0" xfId="0" applyNumberFormat="1" applyFill="1" applyAlignment="1">
      <alignment horizontal="left" vertical="center"/>
    </xf>
    <xf numFmtId="0" fontId="0" fillId="0" borderId="131" xfId="0" applyBorder="1" applyAlignment="1">
      <alignment horizontal="right" vertical="center"/>
    </xf>
    <xf numFmtId="0" fontId="0" fillId="0" borderId="143" xfId="0" applyBorder="1" applyAlignment="1">
      <alignment horizontal="right" vertical="center"/>
    </xf>
    <xf numFmtId="0" fontId="0" fillId="0" borderId="86" xfId="0" applyBorder="1" applyAlignment="1">
      <alignment horizontal="right" vertical="center"/>
    </xf>
    <xf numFmtId="0" fontId="0" fillId="28" borderId="0" xfId="159" applyNumberFormat="1" applyFont="1" applyFill="1"/>
    <xf numFmtId="0" fontId="0" fillId="28" borderId="0" xfId="0" applyFill="1" applyAlignment="1">
      <alignment horizontal="center"/>
    </xf>
    <xf numFmtId="9" fontId="0" fillId="28" borderId="0" xfId="280" applyFont="1" applyFill="1"/>
    <xf numFmtId="0" fontId="27" fillId="28" borderId="116" xfId="0" applyFont="1" applyFill="1" applyBorder="1" applyAlignment="1">
      <alignment horizontal="right" vertical="center"/>
    </xf>
    <xf numFmtId="165" fontId="34" fillId="28" borderId="101" xfId="0" applyNumberFormat="1" applyFont="1" applyFill="1" applyBorder="1" applyAlignment="1">
      <alignment horizontal="center" vertical="center"/>
    </xf>
    <xf numFmtId="1" fontId="35" fillId="28" borderId="0" xfId="159" applyNumberFormat="1" applyFont="1" applyFill="1" applyAlignment="1">
      <alignment horizontal="right" vertical="center"/>
    </xf>
    <xf numFmtId="0" fontId="1" fillId="28" borderId="102" xfId="0" applyFont="1" applyFill="1" applyBorder="1" applyAlignment="1">
      <alignment horizontal="right" vertical="center" wrapText="1"/>
    </xf>
    <xf numFmtId="165" fontId="33" fillId="28" borderId="129" xfId="0" applyNumberFormat="1" applyFont="1" applyFill="1" applyBorder="1" applyAlignment="1">
      <alignment horizontal="center" vertical="center"/>
    </xf>
    <xf numFmtId="1" fontId="25" fillId="28" borderId="0" xfId="159" applyNumberFormat="1" applyFill="1" applyAlignment="1">
      <alignment vertical="center"/>
    </xf>
    <xf numFmtId="0" fontId="1" fillId="28" borderId="105" xfId="0" applyFont="1" applyFill="1" applyBorder="1" applyAlignment="1">
      <alignment horizontal="right" vertical="center" wrapText="1"/>
    </xf>
    <xf numFmtId="0" fontId="23" fillId="28" borderId="105" xfId="1" applyFont="1" applyFill="1" applyBorder="1" applyAlignment="1">
      <alignment horizontal="left" vertical="center" wrapText="1"/>
    </xf>
    <xf numFmtId="165" fontId="33" fillId="28" borderId="130" xfId="0" applyNumberFormat="1" applyFont="1" applyFill="1" applyBorder="1" applyAlignment="1">
      <alignment horizontal="center" vertical="center"/>
    </xf>
    <xf numFmtId="0" fontId="0" fillId="28" borderId="0" xfId="0" applyFill="1" applyAlignment="1">
      <alignment horizontal="left" vertical="center" wrapText="1"/>
    </xf>
    <xf numFmtId="0" fontId="1" fillId="28" borderId="119" xfId="0" applyFont="1" applyFill="1" applyBorder="1" applyAlignment="1">
      <alignment horizontal="right" vertical="center" wrapText="1"/>
    </xf>
    <xf numFmtId="0" fontId="0" fillId="28" borderId="0" xfId="0" applyFill="1" applyAlignment="1">
      <alignment horizontal="center" vertical="center"/>
    </xf>
    <xf numFmtId="165" fontId="33" fillId="28" borderId="101" xfId="0" applyNumberFormat="1" applyFont="1" applyFill="1" applyBorder="1" applyAlignment="1">
      <alignment horizontal="center" vertical="center"/>
    </xf>
    <xf numFmtId="1" fontId="25" fillId="28" borderId="0" xfId="159" applyNumberFormat="1" applyFill="1" applyAlignment="1">
      <alignment vertical="center" wrapText="1"/>
    </xf>
    <xf numFmtId="0" fontId="1" fillId="28" borderId="101" xfId="0" applyFont="1" applyFill="1" applyBorder="1" applyAlignment="1">
      <alignment horizontal="right" vertical="center" wrapText="1"/>
    </xf>
    <xf numFmtId="0" fontId="1" fillId="28" borderId="101" xfId="0" applyFont="1" applyFill="1" applyBorder="1" applyAlignment="1">
      <alignment horizontal="right" vertical="center"/>
    </xf>
    <xf numFmtId="165" fontId="33" fillId="28" borderId="121" xfId="0" applyNumberFormat="1" applyFont="1" applyFill="1" applyBorder="1" applyAlignment="1">
      <alignment horizontal="center" vertical="center"/>
    </xf>
    <xf numFmtId="0" fontId="29" fillId="28" borderId="0" xfId="0" applyFont="1" applyFill="1" applyAlignment="1">
      <alignment horizontal="right" vertical="center"/>
    </xf>
    <xf numFmtId="165" fontId="29" fillId="28" borderId="0" xfId="159" applyNumberFormat="1" applyFont="1" applyFill="1" applyAlignment="1">
      <alignment horizontal="right" vertical="center"/>
    </xf>
    <xf numFmtId="1" fontId="25" fillId="28" borderId="0" xfId="159" applyNumberFormat="1" applyFill="1" applyAlignment="1">
      <alignment horizontal="right" vertical="center"/>
    </xf>
    <xf numFmtId="0" fontId="27" fillId="28" borderId="0" xfId="0" applyFont="1" applyFill="1" applyAlignment="1">
      <alignment horizontal="center" vertical="center"/>
    </xf>
    <xf numFmtId="0" fontId="27" fillId="0" borderId="125" xfId="0" applyFont="1" applyBorder="1" applyAlignment="1">
      <alignment horizontal="right" vertical="center" wrapText="1"/>
    </xf>
    <xf numFmtId="0" fontId="30" fillId="0" borderId="117" xfId="159" applyNumberFormat="1" applyFont="1" applyBorder="1" applyAlignment="1">
      <alignment horizontal="center" vertical="center"/>
    </xf>
    <xf numFmtId="0" fontId="30" fillId="0" borderId="117" xfId="0" applyFont="1" applyBorder="1" applyAlignment="1">
      <alignment horizontal="center" vertical="center"/>
    </xf>
    <xf numFmtId="9" fontId="30" fillId="0" borderId="117" xfId="280" applyFont="1" applyBorder="1" applyAlignment="1">
      <alignment horizontal="center" vertical="center" wrapText="1"/>
    </xf>
    <xf numFmtId="165" fontId="27" fillId="0" borderId="122" xfId="159" applyNumberFormat="1" applyFont="1" applyBorder="1" applyAlignment="1">
      <alignment horizontal="center" vertical="center" wrapText="1"/>
    </xf>
    <xf numFmtId="1" fontId="25" fillId="0" borderId="117" xfId="159" applyNumberFormat="1" applyBorder="1" applyAlignment="1">
      <alignment horizontal="right" vertical="center"/>
    </xf>
    <xf numFmtId="0" fontId="27" fillId="0" borderId="117" xfId="0" applyFont="1" applyBorder="1" applyAlignment="1">
      <alignment horizontal="center" vertical="center"/>
    </xf>
    <xf numFmtId="0" fontId="27" fillId="0" borderId="144" xfId="0" applyFont="1" applyBorder="1" applyAlignment="1">
      <alignment horizontal="center" vertical="center" wrapText="1"/>
    </xf>
    <xf numFmtId="0" fontId="1" fillId="0" borderId="102" xfId="0" applyFont="1" applyBorder="1" applyAlignment="1">
      <alignment horizontal="right" vertical="center" wrapText="1"/>
    </xf>
    <xf numFmtId="0" fontId="0" fillId="0" borderId="126" xfId="0" applyBorder="1" applyAlignment="1">
      <alignment horizontal="right" vertical="center"/>
    </xf>
    <xf numFmtId="0" fontId="0" fillId="0" borderId="103" xfId="159" applyNumberFormat="1" applyFont="1" applyBorder="1" applyAlignment="1">
      <alignment horizontal="right" vertical="center"/>
    </xf>
    <xf numFmtId="164" fontId="0" fillId="0" borderId="103" xfId="0" applyNumberFormat="1" applyBorder="1" applyAlignment="1">
      <alignment horizontal="center" vertical="center"/>
    </xf>
    <xf numFmtId="9" fontId="0" fillId="0" borderId="103" xfId="280" applyFont="1" applyBorder="1" applyAlignment="1">
      <alignment vertical="center"/>
    </xf>
    <xf numFmtId="0" fontId="0" fillId="0" borderId="103" xfId="0" applyBorder="1" applyAlignment="1">
      <alignment horizontal="left" vertical="center"/>
    </xf>
    <xf numFmtId="1" fontId="25" fillId="0" borderId="146" xfId="159" applyNumberFormat="1" applyBorder="1" applyAlignment="1">
      <alignment horizontal="right" vertical="center"/>
    </xf>
    <xf numFmtId="0" fontId="0" fillId="0" borderId="136" xfId="0" applyBorder="1" applyAlignment="1">
      <alignment horizontal="center" vertical="center"/>
    </xf>
    <xf numFmtId="0" fontId="0" fillId="0" borderId="104" xfId="0" applyBorder="1" applyAlignment="1">
      <alignment horizontal="left" vertical="center" wrapText="1"/>
    </xf>
    <xf numFmtId="0" fontId="1" fillId="0" borderId="105" xfId="0" applyFont="1" applyBorder="1" applyAlignment="1">
      <alignment horizontal="right" vertical="center" wrapText="1"/>
    </xf>
    <xf numFmtId="0" fontId="23" fillId="0" borderId="105" xfId="1" applyFont="1" applyBorder="1" applyAlignment="1">
      <alignment horizontal="left" vertical="center" wrapText="1"/>
    </xf>
    <xf numFmtId="0" fontId="1" fillId="0" borderId="108" xfId="159" applyNumberFormat="1" applyFont="1" applyBorder="1" applyAlignment="1">
      <alignment horizontal="center" vertical="center"/>
    </xf>
    <xf numFmtId="0" fontId="1" fillId="0" borderId="108" xfId="0" applyFont="1" applyBorder="1" applyAlignment="1">
      <alignment horizontal="center" vertical="center"/>
    </xf>
    <xf numFmtId="9" fontId="1" fillId="0" borderId="108" xfId="280" applyFont="1" applyBorder="1" applyAlignment="1">
      <alignment horizontal="center" vertical="center" wrapText="1"/>
    </xf>
    <xf numFmtId="0" fontId="0" fillId="0" borderId="108" xfId="0" applyBorder="1" applyAlignment="1">
      <alignment horizontal="left" vertical="center"/>
    </xf>
    <xf numFmtId="165" fontId="28" fillId="0" borderId="132" xfId="159" applyNumberFormat="1" applyFont="1" applyBorder="1" applyAlignment="1">
      <alignment horizontal="right" vertical="center"/>
    </xf>
    <xf numFmtId="1" fontId="25" fillId="0" borderId="134" xfId="159" applyNumberFormat="1" applyBorder="1" applyAlignment="1">
      <alignment horizontal="right" vertical="center"/>
    </xf>
    <xf numFmtId="0" fontId="0" fillId="0" borderId="135" xfId="0" applyBorder="1" applyAlignment="1">
      <alignment horizontal="center" vertical="center"/>
    </xf>
    <xf numFmtId="0" fontId="21" fillId="0" borderId="92" xfId="0" applyFont="1" applyBorder="1" applyAlignment="1">
      <alignment horizontal="left" vertical="center" wrapText="1"/>
    </xf>
    <xf numFmtId="0" fontId="23" fillId="0" borderId="0" xfId="1" applyFont="1" applyAlignment="1">
      <alignment vertical="center" wrapText="1"/>
    </xf>
    <xf numFmtId="0" fontId="24" fillId="26" borderId="141" xfId="33" applyFont="1" applyFill="1" applyBorder="1" applyAlignment="1">
      <alignment horizontal="left" vertical="center" wrapText="1"/>
    </xf>
    <xf numFmtId="0" fontId="0" fillId="0" borderId="0" xfId="0" applyAlignment="1">
      <alignment horizontal="right" vertical="center"/>
    </xf>
    <xf numFmtId="9" fontId="0" fillId="0" borderId="0" xfId="280" applyFont="1" applyAlignment="1">
      <alignment vertical="center"/>
    </xf>
    <xf numFmtId="0" fontId="31" fillId="0" borderId="13" xfId="0" applyFont="1" applyBorder="1" applyAlignment="1">
      <alignment horizontal="right" vertical="center"/>
    </xf>
    <xf numFmtId="1" fontId="0" fillId="0" borderId="18" xfId="0" applyNumberFormat="1" applyBorder="1" applyAlignment="1">
      <alignment horizontal="right" vertical="center"/>
    </xf>
    <xf numFmtId="0" fontId="0" fillId="0" borderId="19" xfId="0" applyBorder="1" applyAlignment="1">
      <alignment horizontal="center" vertical="center"/>
    </xf>
    <xf numFmtId="0" fontId="0" fillId="0" borderId="11" xfId="0" applyBorder="1" applyAlignment="1">
      <alignment horizontal="left" vertical="center" wrapText="1"/>
    </xf>
    <xf numFmtId="0" fontId="24" fillId="26" borderId="138" xfId="33" applyFont="1" applyFill="1" applyBorder="1" applyAlignment="1">
      <alignment horizontal="left" vertical="center" wrapText="1"/>
    </xf>
    <xf numFmtId="0" fontId="26" fillId="0" borderId="11" xfId="0" applyFont="1" applyBorder="1" applyAlignment="1">
      <alignment horizontal="left" vertical="center" wrapText="1"/>
    </xf>
    <xf numFmtId="0" fontId="0" fillId="0" borderId="92" xfId="0" applyBorder="1" applyAlignment="1">
      <alignment horizontal="left" vertical="center" wrapText="1"/>
    </xf>
    <xf numFmtId="0" fontId="21" fillId="26" borderId="138" xfId="33" applyFont="1" applyFill="1" applyBorder="1" applyAlignment="1">
      <alignment horizontal="left" vertical="center" wrapText="1"/>
    </xf>
    <xf numFmtId="0" fontId="0" fillId="0" borderId="108" xfId="0" applyBorder="1" applyAlignment="1">
      <alignment horizontal="center" vertical="center"/>
    </xf>
    <xf numFmtId="9" fontId="0" fillId="0" borderId="108" xfId="280" applyFont="1" applyBorder="1" applyAlignment="1">
      <alignment vertical="center"/>
    </xf>
    <xf numFmtId="0" fontId="21" fillId="0" borderId="0" xfId="1" applyFont="1" applyAlignment="1">
      <alignment horizontal="left" vertical="center" wrapText="1"/>
    </xf>
    <xf numFmtId="0" fontId="24" fillId="26" borderId="140" xfId="33" applyFont="1" applyFill="1" applyBorder="1" applyAlignment="1">
      <alignment horizontal="left" vertical="center" wrapText="1"/>
    </xf>
    <xf numFmtId="0" fontId="21" fillId="0" borderId="105" xfId="1" applyFont="1" applyBorder="1" applyAlignment="1">
      <alignment horizontal="left" vertical="center" wrapText="1"/>
    </xf>
    <xf numFmtId="0" fontId="21" fillId="26" borderId="139" xfId="33" applyFont="1" applyFill="1" applyBorder="1" applyAlignment="1">
      <alignment horizontal="left" vertical="center" wrapText="1"/>
    </xf>
    <xf numFmtId="2" fontId="0" fillId="0" borderId="0" xfId="0" applyNumberFormat="1" applyAlignment="1">
      <alignment horizontal="right" vertical="center"/>
    </xf>
    <xf numFmtId="2" fontId="31" fillId="0" borderId="13" xfId="0" applyNumberFormat="1" applyFont="1" applyBorder="1" applyAlignment="1">
      <alignment horizontal="right" vertical="center"/>
    </xf>
    <xf numFmtId="0" fontId="23" fillId="0" borderId="109" xfId="1" applyFont="1" applyBorder="1" applyAlignment="1">
      <alignment horizontal="left" vertical="center" wrapText="1"/>
    </xf>
    <xf numFmtId="0" fontId="0" fillId="0" borderId="110" xfId="159" applyNumberFormat="1" applyFont="1" applyBorder="1" applyAlignment="1">
      <alignment horizontal="right" vertical="center"/>
    </xf>
    <xf numFmtId="9" fontId="0" fillId="0" borderId="110" xfId="280" applyFont="1" applyBorder="1" applyAlignment="1">
      <alignment vertical="center"/>
    </xf>
    <xf numFmtId="0" fontId="0" fillId="0" borderId="133" xfId="0" applyBorder="1" applyAlignment="1">
      <alignment horizontal="center" vertical="center"/>
    </xf>
    <xf numFmtId="0" fontId="0" fillId="0" borderId="112" xfId="0" applyBorder="1" applyAlignment="1">
      <alignment horizontal="left" vertical="center" wrapText="1"/>
    </xf>
    <xf numFmtId="0" fontId="1" fillId="0" borderId="120" xfId="0" applyFont="1" applyBorder="1" applyAlignment="1">
      <alignment horizontal="right" vertical="center" wrapText="1"/>
    </xf>
    <xf numFmtId="0" fontId="0" fillId="0" borderId="113" xfId="159" applyNumberFormat="1" applyFont="1" applyBorder="1" applyAlignment="1">
      <alignment horizontal="right" vertical="center"/>
    </xf>
    <xf numFmtId="0" fontId="0" fillId="0" borderId="113" xfId="0" applyBorder="1" applyAlignment="1">
      <alignment horizontal="center" vertical="center"/>
    </xf>
    <xf numFmtId="9" fontId="0" fillId="0" borderId="113" xfId="280" applyFont="1" applyBorder="1" applyAlignment="1">
      <alignment vertical="center"/>
    </xf>
    <xf numFmtId="0" fontId="0" fillId="0" borderId="113" xfId="0" applyBorder="1" applyAlignment="1">
      <alignment horizontal="left" vertical="center"/>
    </xf>
    <xf numFmtId="165" fontId="28" fillId="0" borderId="123" xfId="159" applyNumberFormat="1" applyFont="1" applyBorder="1" applyAlignment="1">
      <alignment horizontal="right" vertical="center"/>
    </xf>
    <xf numFmtId="1" fontId="25" fillId="0" borderId="147" xfId="159" applyNumberFormat="1" applyBorder="1" applyAlignment="1">
      <alignment horizontal="right" vertical="center"/>
    </xf>
    <xf numFmtId="0" fontId="0" fillId="0" borderId="148" xfId="0" applyBorder="1" applyAlignment="1">
      <alignment horizontal="center" vertical="center"/>
    </xf>
    <xf numFmtId="0" fontId="0" fillId="0" borderId="114" xfId="0" applyBorder="1" applyAlignment="1">
      <alignment horizontal="left" vertical="center" wrapText="1"/>
    </xf>
    <xf numFmtId="0" fontId="24" fillId="25" borderId="138" xfId="33" applyFont="1" applyFill="1" applyBorder="1" applyAlignment="1">
      <alignment horizontal="left" vertical="center" wrapText="1"/>
    </xf>
    <xf numFmtId="0" fontId="21" fillId="25" borderId="138" xfId="33" applyFont="1" applyFill="1" applyBorder="1" applyAlignment="1">
      <alignment horizontal="left" vertical="center" wrapText="1"/>
    </xf>
    <xf numFmtId="0" fontId="21" fillId="25" borderId="140" xfId="33" applyFont="1" applyFill="1" applyBorder="1" applyAlignment="1">
      <alignment horizontal="left" vertical="center" wrapText="1"/>
    </xf>
    <xf numFmtId="0" fontId="21" fillId="25" borderId="134" xfId="33" applyFont="1" applyFill="1" applyBorder="1" applyAlignment="1">
      <alignment horizontal="left" vertical="center"/>
    </xf>
    <xf numFmtId="0" fontId="21" fillId="25" borderId="92" xfId="33" applyFont="1" applyFill="1" applyBorder="1" applyAlignment="1">
      <alignment horizontal="left" vertical="center" wrapText="1"/>
    </xf>
    <xf numFmtId="165" fontId="28" fillId="0" borderId="132" xfId="0" applyNumberFormat="1" applyFont="1" applyBorder="1" applyAlignment="1">
      <alignment horizontal="right" vertical="center"/>
    </xf>
    <xf numFmtId="1" fontId="0" fillId="0" borderId="134" xfId="0" applyNumberFormat="1" applyBorder="1" applyAlignment="1">
      <alignment horizontal="right" vertical="center"/>
    </xf>
    <xf numFmtId="0" fontId="0" fillId="25" borderId="138" xfId="0" applyFill="1" applyBorder="1" applyAlignment="1">
      <alignment horizontal="left" vertical="center" wrapText="1"/>
    </xf>
    <xf numFmtId="0" fontId="21" fillId="25" borderId="139" xfId="33" applyFont="1" applyFill="1" applyBorder="1" applyAlignment="1">
      <alignment horizontal="left" vertical="center" wrapText="1"/>
    </xf>
    <xf numFmtId="0" fontId="0" fillId="0" borderId="110" xfId="0" applyBorder="1" applyAlignment="1">
      <alignment horizontal="center" vertical="center"/>
    </xf>
    <xf numFmtId="0" fontId="0" fillId="0" borderId="110" xfId="0" applyBorder="1" applyAlignment="1">
      <alignment horizontal="left" vertical="center"/>
    </xf>
    <xf numFmtId="0" fontId="31" fillId="0" borderId="124" xfId="0" applyFont="1" applyBorder="1" applyAlignment="1">
      <alignment horizontal="right" vertical="center"/>
    </xf>
    <xf numFmtId="0" fontId="1" fillId="0" borderId="119" xfId="0" applyFont="1" applyBorder="1" applyAlignment="1">
      <alignment horizontal="right" vertical="center" wrapText="1"/>
    </xf>
    <xf numFmtId="0" fontId="1" fillId="0" borderId="103" xfId="159" applyNumberFormat="1" applyFont="1" applyBorder="1" applyAlignment="1">
      <alignment horizontal="center" vertical="center" wrapText="1"/>
    </xf>
    <xf numFmtId="0" fontId="1" fillId="0" borderId="103" xfId="0" applyFont="1" applyBorder="1" applyAlignment="1">
      <alignment horizontal="center" vertical="center"/>
    </xf>
    <xf numFmtId="165" fontId="28" fillId="0" borderId="87" xfId="159" applyNumberFormat="1" applyFont="1" applyBorder="1" applyAlignment="1">
      <alignment horizontal="right" vertical="center"/>
    </xf>
    <xf numFmtId="0" fontId="22" fillId="0" borderId="150" xfId="1" applyFont="1" applyBorder="1" applyAlignment="1">
      <alignment horizontal="left" vertical="center" wrapText="1"/>
    </xf>
    <xf numFmtId="165" fontId="28" fillId="0" borderId="13" xfId="159" applyNumberFormat="1" applyFont="1" applyBorder="1" applyAlignment="1">
      <alignment horizontal="right" vertical="center"/>
    </xf>
    <xf numFmtId="0" fontId="1" fillId="0" borderId="101" xfId="0" applyFont="1" applyBorder="1" applyAlignment="1">
      <alignment horizontal="right" vertical="center" wrapText="1"/>
    </xf>
    <xf numFmtId="0" fontId="0" fillId="0" borderId="117" xfId="159" applyNumberFormat="1" applyFont="1" applyBorder="1" applyAlignment="1">
      <alignment horizontal="right" vertical="center"/>
    </xf>
    <xf numFmtId="0" fontId="0" fillId="0" borderId="117" xfId="0" applyBorder="1" applyAlignment="1">
      <alignment horizontal="center" vertical="center"/>
    </xf>
    <xf numFmtId="9" fontId="0" fillId="0" borderId="117" xfId="280" applyFont="1" applyBorder="1" applyAlignment="1">
      <alignment vertical="center"/>
    </xf>
    <xf numFmtId="0" fontId="0" fillId="0" borderId="117" xfId="0" applyBorder="1" applyAlignment="1">
      <alignment horizontal="left" vertical="center"/>
    </xf>
    <xf numFmtId="165" fontId="28" fillId="0" borderId="122" xfId="0" applyNumberFormat="1" applyFont="1" applyBorder="1" applyAlignment="1">
      <alignment horizontal="right" vertical="center"/>
    </xf>
    <xf numFmtId="1" fontId="0" fillId="0" borderId="145" xfId="0" applyNumberFormat="1" applyBorder="1" applyAlignment="1">
      <alignment horizontal="right" vertical="center"/>
    </xf>
    <xf numFmtId="0" fontId="0" fillId="0" borderId="149" xfId="0" applyBorder="1" applyAlignment="1">
      <alignment horizontal="center" vertical="center"/>
    </xf>
    <xf numFmtId="0" fontId="0" fillId="0" borderId="118" xfId="0" applyBorder="1" applyAlignment="1">
      <alignment horizontal="left" vertical="center" wrapText="1"/>
    </xf>
    <xf numFmtId="0" fontId="1" fillId="0" borderId="101" xfId="0" applyFont="1" applyBorder="1" applyAlignment="1">
      <alignment horizontal="right" vertical="center"/>
    </xf>
    <xf numFmtId="0" fontId="21" fillId="25" borderId="141" xfId="33" applyFont="1" applyFill="1" applyBorder="1" applyAlignment="1">
      <alignment horizontal="left" vertical="center" wrapText="1"/>
    </xf>
    <xf numFmtId="0" fontId="23" fillId="25" borderId="0" xfId="1" applyFont="1" applyFill="1" applyAlignment="1">
      <alignment vertical="center" wrapText="1"/>
    </xf>
    <xf numFmtId="0" fontId="24" fillId="25" borderId="0" xfId="33" applyFont="1" applyFill="1" applyAlignment="1">
      <alignment horizontal="left" vertical="center" wrapText="1"/>
    </xf>
    <xf numFmtId="0" fontId="42" fillId="25" borderId="0" xfId="0" applyFont="1" applyFill="1"/>
    <xf numFmtId="0" fontId="0" fillId="25" borderId="0" xfId="0" applyFill="1"/>
    <xf numFmtId="0" fontId="0" fillId="30" borderId="0" xfId="0" applyFill="1"/>
    <xf numFmtId="0" fontId="45" fillId="25" borderId="0" xfId="33" applyFont="1" applyFill="1" applyAlignment="1">
      <alignment horizontal="left" vertical="center" wrapText="1"/>
    </xf>
    <xf numFmtId="0" fontId="47" fillId="0" borderId="0" xfId="0" applyFont="1"/>
    <xf numFmtId="0" fontId="0" fillId="25" borderId="152" xfId="0" applyFill="1" applyBorder="1"/>
    <xf numFmtId="0" fontId="42" fillId="25" borderId="152" xfId="0" applyFont="1" applyFill="1" applyBorder="1"/>
    <xf numFmtId="0" fontId="36" fillId="25" borderId="152" xfId="0" applyFont="1" applyFill="1" applyBorder="1" applyAlignment="1">
      <alignment wrapText="1"/>
    </xf>
    <xf numFmtId="0" fontId="24" fillId="25" borderId="152" xfId="33" applyFont="1" applyFill="1" applyBorder="1" applyAlignment="1">
      <alignment horizontal="left" vertical="center" wrapText="1"/>
    </xf>
    <xf numFmtId="0" fontId="24" fillId="26" borderId="18" xfId="33" applyFont="1" applyFill="1" applyBorder="1" applyAlignment="1">
      <alignment horizontal="left" vertical="center" wrapText="1"/>
    </xf>
    <xf numFmtId="0" fontId="0" fillId="0" borderId="0" xfId="0" applyAlignment="1">
      <alignment vertical="top" wrapText="1"/>
    </xf>
    <xf numFmtId="0" fontId="0" fillId="0" borderId="0" xfId="0" applyAlignment="1">
      <alignment vertical="top"/>
    </xf>
    <xf numFmtId="0" fontId="27" fillId="0" borderId="0" xfId="0" applyFont="1"/>
    <xf numFmtId="0" fontId="32" fillId="28" borderId="101" xfId="0" applyFont="1" applyFill="1" applyBorder="1" applyAlignment="1">
      <alignment horizontal="left" vertical="center" wrapText="1"/>
    </xf>
    <xf numFmtId="0" fontId="27" fillId="28" borderId="0" xfId="0" applyFont="1" applyFill="1" applyAlignment="1">
      <alignment horizontal="left"/>
    </xf>
    <xf numFmtId="0" fontId="27" fillId="28" borderId="0" xfId="0" applyFont="1" applyFill="1" applyAlignment="1">
      <alignment horizontal="left" vertical="center"/>
    </xf>
    <xf numFmtId="0" fontId="0" fillId="0" borderId="0" xfId="0" applyAlignment="1">
      <alignment wrapText="1"/>
    </xf>
    <xf numFmtId="0" fontId="42" fillId="25" borderId="0" xfId="0" applyFont="1" applyFill="1" applyAlignment="1">
      <alignment wrapText="1"/>
    </xf>
    <xf numFmtId="0" fontId="42" fillId="25" borderId="152" xfId="0" applyFont="1" applyFill="1" applyBorder="1" applyAlignment="1">
      <alignment wrapText="1"/>
    </xf>
    <xf numFmtId="0" fontId="0" fillId="25" borderId="0" xfId="0" applyFill="1" applyAlignment="1">
      <alignment wrapText="1"/>
    </xf>
    <xf numFmtId="0" fontId="0" fillId="30" borderId="0" xfId="0" applyFill="1" applyAlignment="1">
      <alignment wrapText="1"/>
    </xf>
    <xf numFmtId="0" fontId="27" fillId="28" borderId="0" xfId="0" applyFont="1" applyFill="1" applyAlignment="1">
      <alignment horizontal="left" vertical="top"/>
    </xf>
    <xf numFmtId="165" fontId="28" fillId="0" borderId="13" xfId="0" applyNumberFormat="1" applyFont="1" applyBorder="1" applyAlignment="1">
      <alignment horizontal="right" vertical="center"/>
    </xf>
    <xf numFmtId="164" fontId="0" fillId="0" borderId="0" xfId="0" applyNumberFormat="1" applyAlignment="1">
      <alignment horizontal="right" vertical="center"/>
    </xf>
    <xf numFmtId="0" fontId="45" fillId="26" borderId="0" xfId="33" applyFont="1" applyFill="1" applyAlignment="1">
      <alignment horizontal="left" vertical="center" wrapText="1"/>
    </xf>
    <xf numFmtId="0" fontId="41" fillId="25" borderId="0" xfId="1" applyFont="1" applyFill="1" applyAlignment="1">
      <alignment horizontal="left" vertical="center" wrapText="1"/>
    </xf>
    <xf numFmtId="0" fontId="49" fillId="26" borderId="0" xfId="33" applyFont="1" applyFill="1" applyAlignment="1">
      <alignment horizontal="left" vertical="center" wrapText="1"/>
    </xf>
    <xf numFmtId="0" fontId="45" fillId="26" borderId="157" xfId="33" applyFont="1" applyFill="1" applyBorder="1" applyAlignment="1">
      <alignment horizontal="left" vertical="center" wrapText="1"/>
    </xf>
    <xf numFmtId="0" fontId="50" fillId="26" borderId="158" xfId="33" applyFont="1" applyFill="1" applyBorder="1" applyAlignment="1">
      <alignment horizontal="center" vertical="center" wrapText="1"/>
    </xf>
    <xf numFmtId="0" fontId="45" fillId="26" borderId="160" xfId="33" applyFont="1" applyFill="1" applyBorder="1" applyAlignment="1">
      <alignment horizontal="left" vertical="center" wrapText="1"/>
    </xf>
    <xf numFmtId="165" fontId="50" fillId="26" borderId="158" xfId="33" applyNumberFormat="1" applyFont="1" applyFill="1" applyBorder="1" applyAlignment="1">
      <alignment horizontal="center" vertical="center" wrapText="1"/>
    </xf>
    <xf numFmtId="0" fontId="45" fillId="26" borderId="156" xfId="33" applyFont="1" applyFill="1" applyBorder="1" applyAlignment="1">
      <alignment horizontal="left" vertical="center" wrapText="1"/>
    </xf>
    <xf numFmtId="0" fontId="0" fillId="35" borderId="0" xfId="0" applyFill="1"/>
    <xf numFmtId="0" fontId="0" fillId="35" borderId="0" xfId="0" applyFill="1" applyAlignment="1">
      <alignment wrapText="1"/>
    </xf>
    <xf numFmtId="0" fontId="46" fillId="25" borderId="157" xfId="33" applyFont="1" applyFill="1" applyBorder="1" applyAlignment="1">
      <alignment horizontal="left" vertical="center" wrapText="1"/>
    </xf>
    <xf numFmtId="0" fontId="35" fillId="0" borderId="0" xfId="0" applyFont="1"/>
    <xf numFmtId="0" fontId="42" fillId="0" borderId="0" xfId="0" applyFont="1" applyAlignment="1">
      <alignment wrapText="1"/>
    </xf>
    <xf numFmtId="0" fontId="40" fillId="0" borderId="0" xfId="0" applyFont="1"/>
    <xf numFmtId="0" fontId="56" fillId="0" borderId="0" xfId="0" applyFont="1"/>
    <xf numFmtId="0" fontId="55" fillId="0" borderId="0" xfId="0" applyFont="1"/>
    <xf numFmtId="0" fontId="0" fillId="0" borderId="0" xfId="0" applyAlignment="1">
      <alignment vertical="top"/>
    </xf>
    <xf numFmtId="0" fontId="0" fillId="0" borderId="0" xfId="0" applyAlignment="1">
      <alignment vertical="top" wrapText="1"/>
    </xf>
    <xf numFmtId="0" fontId="0" fillId="0" borderId="0" xfId="0" applyAlignment="1">
      <alignment vertical="top"/>
    </xf>
    <xf numFmtId="0" fontId="0" fillId="0" borderId="0" xfId="0"/>
    <xf numFmtId="0" fontId="23" fillId="25" borderId="0" xfId="1" applyFont="1" applyFill="1" applyAlignment="1">
      <alignment vertical="top" wrapText="1"/>
    </xf>
    <xf numFmtId="0" fontId="24" fillId="26" borderId="18" xfId="33" applyFont="1" applyFill="1" applyBorder="1" applyAlignment="1">
      <alignment horizontal="left" vertical="top" wrapText="1"/>
    </xf>
    <xf numFmtId="0" fontId="37" fillId="32" borderId="157" xfId="0" applyFont="1" applyFill="1" applyBorder="1" applyAlignment="1">
      <alignment vertical="top" wrapText="1"/>
    </xf>
    <xf numFmtId="0" fontId="0" fillId="29" borderId="159" xfId="0" applyFill="1" applyBorder="1" applyAlignment="1">
      <alignment vertical="top"/>
    </xf>
    <xf numFmtId="0" fontId="0" fillId="33" borderId="159" xfId="0" applyFill="1" applyBorder="1" applyAlignment="1">
      <alignment vertical="top"/>
    </xf>
    <xf numFmtId="0" fontId="0" fillId="34" borderId="159" xfId="0" applyFill="1" applyBorder="1" applyAlignment="1">
      <alignment vertical="top"/>
    </xf>
    <xf numFmtId="0" fontId="0" fillId="35" borderId="158" xfId="0" applyFill="1" applyBorder="1" applyAlignment="1">
      <alignment vertical="top" wrapText="1"/>
    </xf>
    <xf numFmtId="0" fontId="0" fillId="25" borderId="0" xfId="0" applyFill="1" applyAlignment="1">
      <alignment vertical="top"/>
    </xf>
    <xf numFmtId="0" fontId="35" fillId="0" borderId="0" xfId="0" applyFont="1" applyAlignment="1">
      <alignment vertical="top"/>
    </xf>
    <xf numFmtId="0" fontId="40" fillId="0" borderId="0" xfId="0" applyFont="1" applyAlignment="1">
      <alignment vertical="top"/>
    </xf>
    <xf numFmtId="0" fontId="56" fillId="0" borderId="0" xfId="0" applyFont="1" applyAlignment="1">
      <alignment vertical="top"/>
    </xf>
    <xf numFmtId="0" fontId="36" fillId="26" borderId="0" xfId="0" applyFont="1" applyFill="1" applyAlignment="1">
      <alignment vertical="top" wrapText="1"/>
    </xf>
    <xf numFmtId="0" fontId="36" fillId="31" borderId="156" xfId="0" applyFont="1" applyFill="1" applyBorder="1" applyAlignment="1">
      <alignment vertical="top" wrapText="1"/>
    </xf>
    <xf numFmtId="0" fontId="0" fillId="26" borderId="0" xfId="0" applyFill="1" applyAlignment="1">
      <alignment vertical="top" wrapText="1"/>
    </xf>
    <xf numFmtId="0" fontId="0" fillId="35" borderId="0" xfId="0" applyFill="1" applyAlignment="1">
      <alignment vertical="top" wrapText="1"/>
    </xf>
    <xf numFmtId="0" fontId="40" fillId="31" borderId="156" xfId="0" applyFont="1" applyFill="1" applyBorder="1" applyAlignment="1">
      <alignment vertical="top" wrapText="1"/>
    </xf>
    <xf numFmtId="0" fontId="0" fillId="35" borderId="0" xfId="0" applyFill="1" applyAlignment="1">
      <alignment vertical="top"/>
    </xf>
    <xf numFmtId="0" fontId="36" fillId="26" borderId="0" xfId="0" applyFont="1" applyFill="1" applyAlignment="1">
      <alignment vertical="top"/>
    </xf>
    <xf numFmtId="0" fontId="40" fillId="31" borderId="159" xfId="0" applyFont="1" applyFill="1" applyBorder="1" applyAlignment="1">
      <alignment vertical="top" wrapText="1"/>
    </xf>
    <xf numFmtId="0" fontId="53" fillId="0" borderId="0" xfId="0" applyFont="1" applyAlignment="1">
      <alignment vertical="top" wrapText="1"/>
    </xf>
    <xf numFmtId="0" fontId="0" fillId="35" borderId="159" xfId="0" applyFill="1" applyBorder="1" applyAlignment="1">
      <alignment vertical="top" wrapText="1"/>
    </xf>
    <xf numFmtId="0" fontId="53" fillId="35" borderId="159" xfId="0" applyFont="1" applyFill="1" applyBorder="1" applyAlignment="1">
      <alignment vertical="top" wrapText="1"/>
    </xf>
    <xf numFmtId="0" fontId="54" fillId="32" borderId="157" xfId="0" applyFont="1" applyFill="1" applyBorder="1" applyAlignment="1">
      <alignment vertical="top" wrapText="1"/>
    </xf>
    <xf numFmtId="0" fontId="21" fillId="35" borderId="158" xfId="0" applyFont="1" applyFill="1" applyBorder="1" applyAlignment="1">
      <alignment vertical="top" wrapText="1"/>
    </xf>
    <xf numFmtId="0" fontId="36" fillId="31" borderId="157" xfId="0" applyFont="1" applyFill="1" applyBorder="1" applyAlignment="1">
      <alignment vertical="top" wrapText="1"/>
    </xf>
    <xf numFmtId="0" fontId="0" fillId="0" borderId="0" xfId="0" applyAlignment="1">
      <alignment vertical="top" wrapText="1"/>
    </xf>
    <xf numFmtId="164" fontId="0" fillId="28" borderId="0" xfId="0" applyNumberFormat="1" applyFill="1" applyAlignment="1">
      <alignment horizontal="center" vertical="center"/>
    </xf>
    <xf numFmtId="0" fontId="1" fillId="28" borderId="116" xfId="0" applyFont="1" applyFill="1" applyBorder="1" applyAlignment="1">
      <alignment horizontal="left" vertical="center" wrapText="1"/>
    </xf>
    <xf numFmtId="0" fontId="1" fillId="28" borderId="117" xfId="0" applyFont="1" applyFill="1" applyBorder="1" applyAlignment="1">
      <alignment horizontal="left" vertical="center"/>
    </xf>
    <xf numFmtId="0" fontId="1" fillId="28" borderId="118" xfId="0" applyFont="1" applyFill="1" applyBorder="1" applyAlignment="1">
      <alignment horizontal="left" vertical="center"/>
    </xf>
    <xf numFmtId="0" fontId="21" fillId="25" borderId="137" xfId="1" applyFont="1" applyFill="1" applyBorder="1" applyAlignment="1">
      <alignment horizontal="left" vertical="center" wrapText="1"/>
    </xf>
    <xf numFmtId="0" fontId="25" fillId="25" borderId="12" xfId="0" applyFont="1" applyFill="1" applyBorder="1" applyAlignment="1">
      <alignment horizontal="left" vertical="center" wrapText="1"/>
    </xf>
    <xf numFmtId="0" fontId="24" fillId="25" borderId="134" xfId="33" applyFont="1" applyFill="1" applyBorder="1" applyAlignment="1">
      <alignment horizontal="left" vertical="center" wrapText="1"/>
    </xf>
    <xf numFmtId="0" fontId="25" fillId="25" borderId="92" xfId="0" applyFont="1" applyFill="1" applyBorder="1" applyAlignment="1">
      <alignment horizontal="left" vertical="center" wrapText="1"/>
    </xf>
    <xf numFmtId="9" fontId="47" fillId="0" borderId="0" xfId="280" applyFont="1" applyAlignment="1">
      <alignment horizontal="center" wrapText="1"/>
    </xf>
    <xf numFmtId="0" fontId="21" fillId="25" borderId="134" xfId="1" applyFont="1" applyFill="1" applyBorder="1" applyAlignment="1">
      <alignment horizontal="left" vertical="center" wrapText="1"/>
    </xf>
    <xf numFmtId="0" fontId="24" fillId="25" borderId="92" xfId="33" applyFont="1" applyFill="1" applyBorder="1" applyAlignment="1">
      <alignment horizontal="left" vertical="center" wrapText="1"/>
    </xf>
    <xf numFmtId="0" fontId="21" fillId="24" borderId="153" xfId="1" applyFont="1" applyFill="1" applyBorder="1" applyAlignment="1">
      <alignment horizontal="left" vertical="center" wrapText="1"/>
    </xf>
    <xf numFmtId="0" fontId="21" fillId="24" borderId="92" xfId="1" applyFont="1" applyFill="1" applyBorder="1" applyAlignment="1">
      <alignment horizontal="left" vertical="center" wrapText="1"/>
    </xf>
    <xf numFmtId="0" fontId="22" fillId="24" borderId="115" xfId="1" applyFont="1" applyFill="1" applyBorder="1" applyAlignment="1">
      <alignment horizontal="left" vertical="center" wrapText="1"/>
    </xf>
    <xf numFmtId="0" fontId="22" fillId="24" borderId="10" xfId="1" applyFont="1" applyFill="1" applyBorder="1" applyAlignment="1">
      <alignment horizontal="left" vertical="center" wrapText="1"/>
    </xf>
    <xf numFmtId="0" fontId="22" fillId="24" borderId="12" xfId="1" applyFont="1" applyFill="1" applyBorder="1" applyAlignment="1">
      <alignment horizontal="left" vertical="center" wrapText="1"/>
    </xf>
    <xf numFmtId="0" fontId="29" fillId="0" borderId="116" xfId="0" applyFont="1" applyBorder="1" applyAlignment="1">
      <alignment horizontal="center" vertical="center"/>
    </xf>
    <xf numFmtId="0" fontId="29" fillId="0" borderId="117" xfId="0" applyFont="1" applyBorder="1" applyAlignment="1">
      <alignment horizontal="center" vertical="center"/>
    </xf>
    <xf numFmtId="0" fontId="29" fillId="0" borderId="118" xfId="0" applyFont="1" applyBorder="1" applyAlignment="1">
      <alignment horizontal="center" vertical="center"/>
    </xf>
    <xf numFmtId="0" fontId="29" fillId="28" borderId="117" xfId="0" applyFont="1" applyFill="1" applyBorder="1" applyAlignment="1">
      <alignment horizontal="right" vertical="center"/>
    </xf>
    <xf numFmtId="0" fontId="29" fillId="28" borderId="118" xfId="0" applyFont="1" applyFill="1" applyBorder="1" applyAlignment="1">
      <alignment horizontal="right" vertical="center"/>
    </xf>
    <xf numFmtId="0" fontId="22" fillId="28" borderId="111" xfId="1" applyFont="1" applyFill="1" applyBorder="1" applyAlignment="1">
      <alignment horizontal="left" vertical="center" wrapText="1"/>
    </xf>
    <xf numFmtId="0" fontId="22" fillId="28" borderId="103" xfId="1" applyFont="1" applyFill="1" applyBorder="1" applyAlignment="1">
      <alignment horizontal="left" vertical="center" wrapText="1"/>
    </xf>
    <xf numFmtId="0" fontId="22" fillId="28" borderId="104" xfId="1" applyFont="1" applyFill="1" applyBorder="1" applyAlignment="1">
      <alignment horizontal="left" vertical="center" wrapText="1"/>
    </xf>
    <xf numFmtId="0" fontId="21" fillId="28" borderId="137" xfId="1" applyFont="1" applyFill="1" applyBorder="1" applyAlignment="1">
      <alignment horizontal="left" vertical="center" wrapText="1"/>
    </xf>
    <xf numFmtId="0" fontId="25" fillId="28" borderId="12" xfId="0" applyFont="1" applyFill="1" applyBorder="1" applyAlignment="1">
      <alignment horizontal="left" vertical="center" wrapText="1"/>
    </xf>
    <xf numFmtId="0" fontId="24" fillId="28" borderId="134" xfId="33" applyFont="1" applyFill="1" applyBorder="1" applyAlignment="1">
      <alignment horizontal="left" vertical="center" wrapText="1"/>
    </xf>
    <xf numFmtId="0" fontId="25" fillId="28" borderId="92" xfId="0" applyFont="1" applyFill="1" applyBorder="1" applyAlignment="1">
      <alignment horizontal="left" vertical="center" wrapText="1"/>
    </xf>
    <xf numFmtId="0" fontId="22" fillId="28" borderId="116" xfId="1" applyFont="1" applyFill="1" applyBorder="1" applyAlignment="1">
      <alignment horizontal="left" vertical="center" wrapText="1"/>
    </xf>
    <xf numFmtId="0" fontId="25" fillId="28" borderId="117" xfId="0" applyFont="1" applyFill="1" applyBorder="1" applyAlignment="1">
      <alignment horizontal="left" vertical="center" wrapText="1"/>
    </xf>
    <xf numFmtId="0" fontId="25" fillId="28" borderId="118" xfId="0" applyFont="1" applyFill="1" applyBorder="1" applyAlignment="1">
      <alignment horizontal="left" vertical="center" wrapText="1"/>
    </xf>
    <xf numFmtId="0" fontId="25" fillId="28" borderId="103" xfId="0" applyFont="1" applyFill="1" applyBorder="1" applyAlignment="1">
      <alignment horizontal="left" vertical="center" wrapText="1"/>
    </xf>
    <xf numFmtId="0" fontId="25" fillId="28" borderId="104" xfId="0" applyFont="1" applyFill="1" applyBorder="1" applyAlignment="1">
      <alignment horizontal="left" vertical="center" wrapText="1"/>
    </xf>
    <xf numFmtId="0" fontId="21" fillId="28" borderId="134" xfId="1" applyFont="1" applyFill="1" applyBorder="1" applyAlignment="1">
      <alignment horizontal="left" vertical="center" wrapText="1"/>
    </xf>
    <xf numFmtId="0" fontId="21" fillId="28" borderId="142" xfId="1" applyFont="1" applyFill="1" applyBorder="1" applyAlignment="1">
      <alignment horizontal="left" vertical="center" wrapText="1"/>
    </xf>
    <xf numFmtId="0" fontId="25" fillId="28" borderId="107" xfId="0" applyFont="1" applyFill="1" applyBorder="1" applyAlignment="1">
      <alignment horizontal="left" vertical="center" wrapText="1"/>
    </xf>
    <xf numFmtId="0" fontId="32" fillId="28" borderId="116" xfId="0" applyFont="1" applyFill="1" applyBorder="1" applyAlignment="1">
      <alignment horizontal="center"/>
    </xf>
    <xf numFmtId="0" fontId="48" fillId="28" borderId="117" xfId="0" applyFont="1" applyFill="1" applyBorder="1" applyAlignment="1">
      <alignment horizontal="center"/>
    </xf>
    <xf numFmtId="0" fontId="48" fillId="28" borderId="118" xfId="0" applyFont="1" applyFill="1" applyBorder="1" applyAlignment="1">
      <alignment horizontal="center"/>
    </xf>
    <xf numFmtId="0" fontId="22" fillId="24" borderId="111" xfId="1" applyFont="1" applyFill="1" applyBorder="1" applyAlignment="1">
      <alignment horizontal="left" vertical="center" wrapText="1"/>
    </xf>
    <xf numFmtId="0" fontId="25" fillId="24" borderId="103" xfId="0" applyFont="1" applyFill="1" applyBorder="1" applyAlignment="1">
      <alignment horizontal="left" vertical="center" wrapText="1"/>
    </xf>
    <xf numFmtId="0" fontId="25" fillId="24" borderId="104" xfId="0" applyFont="1" applyFill="1" applyBorder="1" applyAlignment="1">
      <alignment horizontal="left" vertical="center" wrapText="1"/>
    </xf>
    <xf numFmtId="0" fontId="1" fillId="24" borderId="116" xfId="0" applyFont="1" applyFill="1" applyBorder="1" applyAlignment="1">
      <alignment horizontal="left" vertical="center" wrapText="1"/>
    </xf>
    <xf numFmtId="0" fontId="1" fillId="24" borderId="117" xfId="0" applyFont="1" applyFill="1" applyBorder="1" applyAlignment="1">
      <alignment horizontal="left" vertical="center"/>
    </xf>
    <xf numFmtId="0" fontId="1" fillId="24" borderId="118" xfId="0" applyFont="1" applyFill="1" applyBorder="1" applyAlignment="1">
      <alignment horizontal="left" vertical="center"/>
    </xf>
    <xf numFmtId="0" fontId="22" fillId="25" borderId="111" xfId="1" applyFont="1" applyFill="1" applyBorder="1" applyAlignment="1">
      <alignment horizontal="left" vertical="center" wrapText="1"/>
    </xf>
    <xf numFmtId="0" fontId="25" fillId="25" borderId="103" xfId="0" applyFont="1" applyFill="1" applyBorder="1" applyAlignment="1">
      <alignment horizontal="left" vertical="center" wrapText="1"/>
    </xf>
    <xf numFmtId="0" fontId="25" fillId="25" borderId="104" xfId="0" applyFont="1" applyFill="1" applyBorder="1" applyAlignment="1">
      <alignment horizontal="left" vertical="center" wrapText="1"/>
    </xf>
    <xf numFmtId="0" fontId="24" fillId="27" borderId="137" xfId="33" applyFont="1" applyFill="1" applyBorder="1" applyAlignment="1">
      <alignment horizontal="left" vertical="center" wrapText="1"/>
    </xf>
    <xf numFmtId="0" fontId="25" fillId="27" borderId="12" xfId="0" applyFont="1" applyFill="1" applyBorder="1" applyAlignment="1">
      <alignment horizontal="left" vertical="center" wrapText="1"/>
    </xf>
    <xf numFmtId="0" fontId="24" fillId="26" borderId="134" xfId="33" applyFont="1" applyFill="1" applyBorder="1" applyAlignment="1">
      <alignment horizontal="left" vertical="center" wrapText="1"/>
    </xf>
    <xf numFmtId="0" fontId="25" fillId="26" borderId="92" xfId="0" applyFont="1" applyFill="1" applyBorder="1" applyAlignment="1">
      <alignment horizontal="left" vertical="center" wrapText="1"/>
    </xf>
    <xf numFmtId="0" fontId="32" fillId="28" borderId="116" xfId="0" applyFont="1" applyFill="1" applyBorder="1" applyAlignment="1">
      <alignment horizontal="center" vertical="center"/>
    </xf>
    <xf numFmtId="0" fontId="32" fillId="28" borderId="117" xfId="0" applyFont="1" applyFill="1" applyBorder="1" applyAlignment="1">
      <alignment horizontal="center" vertical="center"/>
    </xf>
    <xf numFmtId="0" fontId="32" fillId="28" borderId="118" xfId="0" applyFont="1" applyFill="1" applyBorder="1" applyAlignment="1">
      <alignment horizontal="center" vertical="center"/>
    </xf>
    <xf numFmtId="0" fontId="22" fillId="24" borderId="116" xfId="1" applyFont="1" applyFill="1" applyBorder="1" applyAlignment="1">
      <alignment horizontal="left" vertical="center" wrapText="1"/>
    </xf>
    <xf numFmtId="0" fontId="25" fillId="24" borderId="117" xfId="0" applyFont="1" applyFill="1" applyBorder="1" applyAlignment="1">
      <alignment horizontal="left" vertical="center" wrapText="1"/>
    </xf>
    <xf numFmtId="0" fontId="25" fillId="24" borderId="118" xfId="0" applyFont="1" applyFill="1" applyBorder="1" applyAlignment="1">
      <alignment horizontal="left" vertical="center" wrapText="1"/>
    </xf>
    <xf numFmtId="0" fontId="21" fillId="24" borderId="137" xfId="1" applyFont="1" applyFill="1" applyBorder="1" applyAlignment="1">
      <alignment horizontal="left" vertical="center" wrapText="1"/>
    </xf>
    <xf numFmtId="0" fontId="25" fillId="24" borderId="12" xfId="0" applyFont="1" applyFill="1" applyBorder="1" applyAlignment="1">
      <alignment horizontal="left" vertical="center" wrapText="1"/>
    </xf>
    <xf numFmtId="0" fontId="21" fillId="24" borderId="134" xfId="1" applyFont="1" applyFill="1" applyBorder="1" applyAlignment="1">
      <alignment horizontal="left" vertical="center" wrapText="1"/>
    </xf>
    <xf numFmtId="0" fontId="25" fillId="24" borderId="92" xfId="0" applyFont="1" applyFill="1" applyBorder="1" applyAlignment="1">
      <alignment horizontal="left" vertical="center" wrapText="1"/>
    </xf>
    <xf numFmtId="0" fontId="22" fillId="24" borderId="103" xfId="1" applyFont="1" applyFill="1" applyBorder="1" applyAlignment="1">
      <alignment horizontal="left" vertical="center" wrapText="1"/>
    </xf>
    <xf numFmtId="0" fontId="22" fillId="24" borderId="104" xfId="1" applyFont="1" applyFill="1" applyBorder="1" applyAlignment="1">
      <alignment horizontal="left" vertical="center" wrapText="1"/>
    </xf>
    <xf numFmtId="0" fontId="23" fillId="0" borderId="106" xfId="1" applyFont="1" applyBorder="1" applyAlignment="1">
      <alignment horizontal="left" vertical="center" wrapText="1"/>
    </xf>
    <xf numFmtId="0" fontId="23" fillId="0" borderId="0" xfId="1" applyFont="1" applyAlignment="1">
      <alignment horizontal="left" vertical="center" wrapText="1"/>
    </xf>
    <xf numFmtId="0" fontId="45" fillId="26" borderId="18" xfId="33" applyFont="1" applyFill="1" applyBorder="1" applyAlignment="1">
      <alignment horizontal="left" vertical="center" wrapText="1"/>
    </xf>
    <xf numFmtId="0" fontId="45" fillId="26" borderId="0" xfId="33" applyFont="1" applyFill="1" applyAlignment="1">
      <alignment horizontal="left" vertical="center" wrapText="1"/>
    </xf>
    <xf numFmtId="0" fontId="41" fillId="25" borderId="18" xfId="1" applyFont="1" applyFill="1" applyBorder="1" applyAlignment="1">
      <alignment horizontal="left" vertical="center" wrapText="1"/>
    </xf>
    <xf numFmtId="0" fontId="41" fillId="25" borderId="0" xfId="1" applyFont="1" applyFill="1" applyAlignment="1">
      <alignment horizontal="left" vertical="center" wrapText="1"/>
    </xf>
    <xf numFmtId="0" fontId="36" fillId="31" borderId="137" xfId="0" applyFont="1" applyFill="1" applyBorder="1" applyAlignment="1">
      <alignment vertical="top" wrapText="1"/>
    </xf>
    <xf numFmtId="0" fontId="36" fillId="31" borderId="10" xfId="0" applyFont="1" applyFill="1" applyBorder="1" applyAlignment="1">
      <alignment vertical="top" wrapText="1"/>
    </xf>
    <xf numFmtId="0" fontId="60" fillId="35" borderId="156" xfId="0" applyFont="1" applyFill="1" applyBorder="1"/>
    <xf numFmtId="0" fontId="36" fillId="35" borderId="19" xfId="0" applyFont="1" applyFill="1" applyBorder="1"/>
    <xf numFmtId="0" fontId="45" fillId="26" borderId="156" xfId="33" applyFont="1" applyFill="1" applyBorder="1" applyAlignment="1">
      <alignment horizontal="left" vertical="center" wrapText="1"/>
    </xf>
    <xf numFmtId="0" fontId="45" fillId="26" borderId="157" xfId="33" applyFont="1" applyFill="1" applyBorder="1" applyAlignment="1">
      <alignment horizontal="left" vertical="center" wrapText="1"/>
    </xf>
    <xf numFmtId="0" fontId="36" fillId="31" borderId="156" xfId="0" applyFont="1" applyFill="1" applyBorder="1" applyAlignment="1">
      <alignment wrapText="1"/>
    </xf>
    <xf numFmtId="0" fontId="36" fillId="31" borderId="157" xfId="0" applyFont="1" applyFill="1" applyBorder="1" applyAlignment="1">
      <alignment wrapText="1"/>
    </xf>
    <xf numFmtId="0" fontId="41" fillId="25" borderId="161" xfId="1" applyFont="1" applyFill="1" applyBorder="1" applyAlignment="1">
      <alignment horizontal="left" vertical="top" wrapText="1"/>
    </xf>
    <xf numFmtId="0" fontId="40" fillId="35" borderId="156" xfId="0" applyFont="1" applyFill="1" applyBorder="1" applyAlignment="1">
      <alignment vertical="top" wrapText="1"/>
    </xf>
    <xf numFmtId="0" fontId="40" fillId="35" borderId="157" xfId="0" applyFont="1" applyFill="1" applyBorder="1" applyAlignment="1">
      <alignment vertical="top" wrapText="1"/>
    </xf>
    <xf numFmtId="0" fontId="36" fillId="35" borderId="156" xfId="0" applyFont="1" applyFill="1" applyBorder="1" applyAlignment="1">
      <alignment vertical="top" wrapText="1"/>
    </xf>
    <xf numFmtId="0" fontId="36" fillId="35" borderId="157" xfId="0" applyFont="1" applyFill="1" applyBorder="1" applyAlignment="1">
      <alignment vertical="top" wrapText="1"/>
    </xf>
    <xf numFmtId="0" fontId="49" fillId="26" borderId="18" xfId="33" applyFont="1" applyFill="1" applyBorder="1" applyAlignment="1">
      <alignment horizontal="left" vertical="center" wrapText="1"/>
    </xf>
    <xf numFmtId="0" fontId="49" fillId="26" borderId="0" xfId="33" applyFont="1" applyFill="1" applyAlignment="1">
      <alignment horizontal="left" vertical="center" wrapText="1"/>
    </xf>
    <xf numFmtId="0" fontId="46" fillId="25" borderId="156" xfId="33" applyFont="1" applyFill="1" applyBorder="1" applyAlignment="1">
      <alignment horizontal="left" vertical="center" wrapText="1"/>
    </xf>
    <xf numFmtId="0" fontId="46" fillId="25" borderId="157" xfId="33" applyFont="1" applyFill="1" applyBorder="1" applyAlignment="1">
      <alignment horizontal="left" vertical="center" wrapText="1"/>
    </xf>
    <xf numFmtId="0" fontId="45" fillId="26" borderId="159" xfId="33" applyFont="1" applyFill="1" applyBorder="1" applyAlignment="1">
      <alignment horizontal="left" vertical="center" wrapText="1"/>
    </xf>
    <xf numFmtId="0" fontId="41" fillId="25" borderId="154" xfId="1" applyFont="1" applyFill="1" applyBorder="1" applyAlignment="1">
      <alignment horizontal="left" vertical="center" wrapText="1"/>
    </xf>
    <xf numFmtId="0" fontId="41" fillId="25" borderId="155" xfId="1" applyFont="1" applyFill="1" applyBorder="1" applyAlignment="1">
      <alignment horizontal="left" vertical="center" wrapText="1"/>
    </xf>
    <xf numFmtId="0" fontId="0" fillId="0" borderId="0" xfId="0" applyAlignment="1">
      <alignment vertical="top"/>
    </xf>
    <xf numFmtId="0" fontId="0" fillId="0" borderId="0" xfId="0" applyAlignment="1">
      <alignment wrapText="1"/>
    </xf>
    <xf numFmtId="0" fontId="0" fillId="0" borderId="0" xfId="0"/>
    <xf numFmtId="0" fontId="1" fillId="0" borderId="0" xfId="0" applyFont="1" applyAlignment="1">
      <alignment wrapText="1"/>
    </xf>
    <xf numFmtId="0" fontId="24" fillId="25" borderId="0" xfId="33" applyFont="1" applyFill="1" applyAlignment="1">
      <alignment horizontal="left" vertical="top" wrapText="1"/>
    </xf>
    <xf numFmtId="0" fontId="36" fillId="31" borderId="156" xfId="0" applyFont="1" applyFill="1" applyBorder="1" applyAlignment="1">
      <alignment vertical="top" wrapText="1"/>
    </xf>
    <xf numFmtId="0" fontId="36" fillId="31" borderId="157" xfId="0" applyFont="1" applyFill="1" applyBorder="1" applyAlignment="1">
      <alignment vertical="top" wrapText="1"/>
    </xf>
    <xf numFmtId="0" fontId="55" fillId="0" borderId="0" xfId="0" applyFont="1" applyAlignment="1">
      <alignment vertical="top"/>
    </xf>
    <xf numFmtId="0" fontId="35" fillId="31" borderId="156" xfId="0" applyFont="1" applyFill="1" applyBorder="1" applyAlignment="1">
      <alignment vertical="top" wrapText="1"/>
    </xf>
    <xf numFmtId="0" fontId="0" fillId="31" borderId="157" xfId="0" applyFill="1" applyBorder="1" applyAlignment="1">
      <alignment vertical="top" wrapText="1"/>
    </xf>
    <xf numFmtId="0" fontId="45" fillId="26" borderId="18" xfId="33" applyFont="1" applyFill="1" applyBorder="1" applyAlignment="1">
      <alignment horizontal="left" vertical="top" wrapText="1"/>
    </xf>
    <xf numFmtId="0" fontId="45" fillId="26" borderId="0" xfId="33" applyFont="1" applyFill="1" applyAlignment="1">
      <alignment horizontal="left" vertical="top" wrapText="1"/>
    </xf>
    <xf numFmtId="0" fontId="45" fillId="26" borderId="0" xfId="33" applyFont="1" applyFill="1" applyAlignment="1">
      <alignment horizontal="left" vertical="top" wrapText="1"/>
    </xf>
    <xf numFmtId="165" fontId="50" fillId="26" borderId="158" xfId="33" applyNumberFormat="1" applyFont="1" applyFill="1" applyBorder="1" applyAlignment="1">
      <alignment horizontal="center" vertical="top" wrapText="1"/>
    </xf>
    <xf numFmtId="0" fontId="53" fillId="25" borderId="0" xfId="33" applyFont="1" applyFill="1" applyAlignment="1">
      <alignment horizontal="left" vertical="top" wrapText="1"/>
    </xf>
    <xf numFmtId="0" fontId="36" fillId="26" borderId="160" xfId="0" applyFont="1" applyFill="1" applyBorder="1" applyAlignment="1">
      <alignment vertical="top" wrapText="1"/>
    </xf>
    <xf numFmtId="0" fontId="40" fillId="31" borderId="162" xfId="0" applyFont="1" applyFill="1" applyBorder="1" applyAlignment="1">
      <alignment vertical="top" wrapText="1"/>
    </xf>
    <xf numFmtId="0" fontId="21" fillId="26" borderId="18" xfId="33" applyFont="1" applyFill="1" applyBorder="1" applyAlignment="1">
      <alignment horizontal="left" vertical="top" wrapText="1"/>
    </xf>
    <xf numFmtId="0" fontId="41" fillId="25" borderId="161" xfId="1" applyFont="1" applyFill="1" applyBorder="1" applyAlignment="1">
      <alignment horizontal="left" vertical="center" wrapText="1"/>
    </xf>
    <xf numFmtId="0" fontId="64" fillId="25" borderId="0" xfId="0" applyFont="1" applyFill="1"/>
    <xf numFmtId="0" fontId="64" fillId="0" borderId="0" xfId="0" applyFont="1"/>
    <xf numFmtId="0" fontId="0" fillId="29" borderId="10" xfId="0" applyFill="1" applyBorder="1" applyAlignment="1">
      <alignment vertical="top"/>
    </xf>
    <xf numFmtId="0" fontId="0" fillId="33" borderId="10" xfId="0" applyFill="1" applyBorder="1" applyAlignment="1">
      <alignment vertical="top"/>
    </xf>
    <xf numFmtId="0" fontId="0" fillId="34" borderId="10" xfId="0" applyFill="1" applyBorder="1" applyAlignment="1">
      <alignment vertical="top"/>
    </xf>
    <xf numFmtId="0" fontId="21" fillId="35" borderId="151" xfId="0" applyFont="1" applyFill="1" applyBorder="1" applyAlignment="1">
      <alignment vertical="top" wrapText="1"/>
    </xf>
    <xf numFmtId="0" fontId="41" fillId="25" borderId="0" xfId="1" applyFont="1" applyFill="1" applyBorder="1" applyAlignment="1">
      <alignment horizontal="left" vertical="center" wrapText="1"/>
    </xf>
    <xf numFmtId="0" fontId="64" fillId="25" borderId="0" xfId="0" applyFont="1" applyFill="1" applyAlignment="1">
      <alignment vertical="center"/>
    </xf>
    <xf numFmtId="0" fontId="64" fillId="0" borderId="0" xfId="0" applyFont="1" applyAlignment="1">
      <alignment vertical="center"/>
    </xf>
    <xf numFmtId="0" fontId="64" fillId="25" borderId="162" xfId="0" applyFont="1" applyFill="1" applyBorder="1" applyAlignment="1">
      <alignment horizontal="left" vertical="center" wrapText="1"/>
    </xf>
    <xf numFmtId="0" fontId="24" fillId="26" borderId="0" xfId="33" applyFont="1" applyFill="1" applyAlignment="1">
      <alignment horizontal="left" vertical="top" wrapText="1"/>
    </xf>
    <xf numFmtId="0" fontId="40" fillId="31" borderId="156" xfId="0" applyFont="1" applyFill="1" applyBorder="1" applyAlignment="1">
      <alignment vertical="top" wrapText="1"/>
    </xf>
    <xf numFmtId="0" fontId="40" fillId="31" borderId="157" xfId="0" applyFont="1" applyFill="1" applyBorder="1" applyAlignment="1">
      <alignment vertical="top" wrapText="1"/>
    </xf>
    <xf numFmtId="0" fontId="64" fillId="25" borderId="161" xfId="0" applyFont="1" applyFill="1" applyBorder="1" applyAlignment="1">
      <alignment horizontal="left"/>
    </xf>
    <xf numFmtId="0" fontId="64" fillId="25" borderId="161" xfId="0" applyFont="1" applyFill="1" applyBorder="1" applyAlignment="1">
      <alignment horizontal="left" vertical="center"/>
    </xf>
    <xf numFmtId="0" fontId="64" fillId="25" borderId="0" xfId="0" applyFont="1" applyFill="1" applyAlignment="1">
      <alignment horizontal="left" vertical="center"/>
    </xf>
    <xf numFmtId="0" fontId="42" fillId="25" borderId="152" xfId="0" applyFont="1" applyFill="1" applyBorder="1" applyAlignment="1">
      <alignment vertical="center"/>
    </xf>
    <xf numFmtId="0" fontId="64" fillId="25" borderId="10" xfId="0" applyFont="1" applyFill="1" applyBorder="1" applyAlignment="1">
      <alignment horizontal="left" vertical="center"/>
    </xf>
    <xf numFmtId="0" fontId="24" fillId="26" borderId="159" xfId="33" applyFont="1" applyFill="1" applyBorder="1" applyAlignment="1">
      <alignment horizontal="left" vertical="top" wrapText="1"/>
    </xf>
    <xf numFmtId="0" fontId="36" fillId="31" borderId="159" xfId="0" applyFont="1" applyFill="1" applyBorder="1" applyAlignment="1">
      <alignment vertical="top" wrapText="1"/>
    </xf>
    <xf numFmtId="0" fontId="0" fillId="35" borderId="151" xfId="0" applyFill="1" applyBorder="1" applyAlignment="1">
      <alignment vertical="top" wrapText="1"/>
    </xf>
  </cellXfs>
  <cellStyles count="4841">
    <cellStyle name="20% - Accent1 2" xfId="2" xr:uid="{00000000-0005-0000-0000-000000000000}"/>
    <cellStyle name="20% - Accent2 2" xfId="3" xr:uid="{00000000-0005-0000-0000-000001000000}"/>
    <cellStyle name="20% - Accent3 2" xfId="4" xr:uid="{00000000-0005-0000-0000-000002000000}"/>
    <cellStyle name="20% - Accent4 2" xfId="5" xr:uid="{00000000-0005-0000-0000-000003000000}"/>
    <cellStyle name="20% - Accent5 2" xfId="6" xr:uid="{00000000-0005-0000-0000-000004000000}"/>
    <cellStyle name="20% - Accent6 2" xfId="7" xr:uid="{00000000-0005-0000-0000-000005000000}"/>
    <cellStyle name="40% - Accent1 2" xfId="8" xr:uid="{00000000-0005-0000-0000-000006000000}"/>
    <cellStyle name="40% - Accent2 2" xfId="9" xr:uid="{00000000-0005-0000-0000-000007000000}"/>
    <cellStyle name="40% - Accent3 2" xfId="10" xr:uid="{00000000-0005-0000-0000-000008000000}"/>
    <cellStyle name="40% - Accent4 2" xfId="11" xr:uid="{00000000-0005-0000-0000-000009000000}"/>
    <cellStyle name="40% - Accent5 2" xfId="12" xr:uid="{00000000-0005-0000-0000-00000A000000}"/>
    <cellStyle name="40% - Accent6 2" xfId="13" xr:uid="{00000000-0005-0000-0000-00000B000000}"/>
    <cellStyle name="60% - Accent1 2" xfId="14" xr:uid="{00000000-0005-0000-0000-00000C000000}"/>
    <cellStyle name="60% - Accent2 2" xfId="15" xr:uid="{00000000-0005-0000-0000-00000D000000}"/>
    <cellStyle name="60% - Accent3 2" xfId="16" xr:uid="{00000000-0005-0000-0000-00000E000000}"/>
    <cellStyle name="60% - Accent4 2" xfId="17" xr:uid="{00000000-0005-0000-0000-00000F000000}"/>
    <cellStyle name="60% - Accent5 2" xfId="18" xr:uid="{00000000-0005-0000-0000-000010000000}"/>
    <cellStyle name="60% - Accent6 2" xfId="19" xr:uid="{00000000-0005-0000-0000-000011000000}"/>
    <cellStyle name="Accent1 2" xfId="20" xr:uid="{00000000-0005-0000-0000-000012000000}"/>
    <cellStyle name="Accent2 2" xfId="21" xr:uid="{00000000-0005-0000-0000-000013000000}"/>
    <cellStyle name="Accent3 2" xfId="22" xr:uid="{00000000-0005-0000-0000-000014000000}"/>
    <cellStyle name="Accent4 2" xfId="23" xr:uid="{00000000-0005-0000-0000-000015000000}"/>
    <cellStyle name="Accent5 2" xfId="24" xr:uid="{00000000-0005-0000-0000-000016000000}"/>
    <cellStyle name="Accent6 2" xfId="25" xr:uid="{00000000-0005-0000-0000-000017000000}"/>
    <cellStyle name="Bad 2" xfId="31" xr:uid="{00000000-0005-0000-0000-000018000000}"/>
    <cellStyle name="Calculation 2" xfId="27" xr:uid="{00000000-0005-0000-0000-000019000000}"/>
    <cellStyle name="Calculation 2 10" xfId="127" xr:uid="{00000000-0005-0000-0000-00001A000000}"/>
    <cellStyle name="Calculation 2 10 10" xfId="2088" xr:uid="{00000000-0005-0000-0000-00001A000000}"/>
    <cellStyle name="Calculation 2 10 11" xfId="2245" xr:uid="{00000000-0005-0000-0000-00001A000000}"/>
    <cellStyle name="Calculation 2 10 12" xfId="2485" xr:uid="{00000000-0005-0000-0000-00001A000000}"/>
    <cellStyle name="Calculation 2 10 13" xfId="2906" xr:uid="{00000000-0005-0000-0000-00001A000000}"/>
    <cellStyle name="Calculation 2 10 14" xfId="3047" xr:uid="{00000000-0005-0000-0000-00001A000000}"/>
    <cellStyle name="Calculation 2 10 15" xfId="3382" xr:uid="{00000000-0005-0000-0000-00001A000000}"/>
    <cellStyle name="Calculation 2 10 16" xfId="3515" xr:uid="{00000000-0005-0000-0000-00001A000000}"/>
    <cellStyle name="Calculation 2 10 17" xfId="3685" xr:uid="{00000000-0005-0000-0000-00001A000000}"/>
    <cellStyle name="Calculation 2 10 18" xfId="3862" xr:uid="{00000000-0005-0000-0000-00001A000000}"/>
    <cellStyle name="Calculation 2 10 19" xfId="4239" xr:uid="{00000000-0005-0000-0000-00001A000000}"/>
    <cellStyle name="Calculation 2 10 2" xfId="248" xr:uid="{00000000-0005-0000-0000-00001B000000}"/>
    <cellStyle name="Calculation 2 10 2 10" xfId="2412" xr:uid="{00000000-0005-0000-0000-00001B000000}"/>
    <cellStyle name="Calculation 2 10 2 11" xfId="2650" xr:uid="{00000000-0005-0000-0000-00001B000000}"/>
    <cellStyle name="Calculation 2 10 2 12" xfId="2837" xr:uid="{00000000-0005-0000-0000-00001B000000}"/>
    <cellStyle name="Calculation 2 10 2 13" xfId="3168" xr:uid="{00000000-0005-0000-0000-00001B000000}"/>
    <cellStyle name="Calculation 2 10 2 14" xfId="3313" xr:uid="{00000000-0005-0000-0000-00001B000000}"/>
    <cellStyle name="Calculation 2 10 2 15" xfId="3636" xr:uid="{00000000-0005-0000-0000-00001B000000}"/>
    <cellStyle name="Calculation 2 10 2 16" xfId="3849" xr:uid="{00000000-0005-0000-0000-00001B000000}"/>
    <cellStyle name="Calculation 2 10 2 17" xfId="3987" xr:uid="{00000000-0005-0000-0000-00001B000000}"/>
    <cellStyle name="Calculation 2 10 2 18" xfId="4360" xr:uid="{00000000-0005-0000-0000-00001B000000}"/>
    <cellStyle name="Calculation 2 10 2 19" xfId="4547" xr:uid="{00000000-0005-0000-0000-00001B000000}"/>
    <cellStyle name="Calculation 2 10 2 2" xfId="528" xr:uid="{00000000-0005-0000-0000-00001B000000}"/>
    <cellStyle name="Calculation 2 10 2 20" xfId="4809" xr:uid="{00000000-0005-0000-0000-00001B000000}"/>
    <cellStyle name="Calculation 2 10 2 3" xfId="773" xr:uid="{00000000-0005-0000-0000-00001B000000}"/>
    <cellStyle name="Calculation 2 10 2 4" xfId="908" xr:uid="{00000000-0005-0000-0000-00001B000000}"/>
    <cellStyle name="Calculation 2 10 2 5" xfId="1220" xr:uid="{00000000-0005-0000-0000-00001B000000}"/>
    <cellStyle name="Calculation 2 10 2 6" xfId="1457" xr:uid="{00000000-0005-0000-0000-00001B000000}"/>
    <cellStyle name="Calculation 2 10 2 7" xfId="1693" xr:uid="{00000000-0005-0000-0000-00001B000000}"/>
    <cellStyle name="Calculation 2 10 2 8" xfId="1929" xr:uid="{00000000-0005-0000-0000-00001B000000}"/>
    <cellStyle name="Calculation 2 10 2 9" xfId="2209" xr:uid="{00000000-0005-0000-0000-00001B000000}"/>
    <cellStyle name="Calculation 2 10 20" xfId="4522" xr:uid="{00000000-0005-0000-0000-00001A000000}"/>
    <cellStyle name="Calculation 2 10 21" xfId="4689" xr:uid="{00000000-0005-0000-0000-00001A000000}"/>
    <cellStyle name="Calculation 2 10 3" xfId="407" xr:uid="{00000000-0005-0000-0000-00001A000000}"/>
    <cellStyle name="Calculation 2 10 4" xfId="599" xr:uid="{00000000-0005-0000-0000-00001A000000}"/>
    <cellStyle name="Calculation 2 10 5" xfId="972" xr:uid="{00000000-0005-0000-0000-00001A000000}"/>
    <cellStyle name="Calculation 2 10 6" xfId="1100" xr:uid="{00000000-0005-0000-0000-00001A000000}"/>
    <cellStyle name="Calculation 2 10 7" xfId="1337" xr:uid="{00000000-0005-0000-0000-00001A000000}"/>
    <cellStyle name="Calculation 2 10 8" xfId="1573" xr:uid="{00000000-0005-0000-0000-00001A000000}"/>
    <cellStyle name="Calculation 2 10 9" xfId="1809" xr:uid="{00000000-0005-0000-0000-00001A000000}"/>
    <cellStyle name="Calculation 2 11" xfId="134" xr:uid="{00000000-0005-0000-0000-00001C000000}"/>
    <cellStyle name="Calculation 2 11 10" xfId="2095" xr:uid="{00000000-0005-0000-0000-00001C000000}"/>
    <cellStyle name="Calculation 2 11 11" xfId="2292" xr:uid="{00000000-0005-0000-0000-00001C000000}"/>
    <cellStyle name="Calculation 2 11 12" xfId="2532" xr:uid="{00000000-0005-0000-0000-00001C000000}"/>
    <cellStyle name="Calculation 2 11 13" xfId="2739" xr:uid="{00000000-0005-0000-0000-00001C000000}"/>
    <cellStyle name="Calculation 2 11 14" xfId="3054" xr:uid="{00000000-0005-0000-0000-00001C000000}"/>
    <cellStyle name="Calculation 2 11 15" xfId="3221" xr:uid="{00000000-0005-0000-0000-00001C000000}"/>
    <cellStyle name="Calculation 2 11 16" xfId="3522" xr:uid="{00000000-0005-0000-0000-00001C000000}"/>
    <cellStyle name="Calculation 2 11 17" xfId="3731" xr:uid="{00000000-0005-0000-0000-00001C000000}"/>
    <cellStyle name="Calculation 2 11 18" xfId="3962" xr:uid="{00000000-0005-0000-0000-00001C000000}"/>
    <cellStyle name="Calculation 2 11 19" xfId="4246" xr:uid="{00000000-0005-0000-0000-00001C000000}"/>
    <cellStyle name="Calculation 2 11 2" xfId="255" xr:uid="{00000000-0005-0000-0000-00001D000000}"/>
    <cellStyle name="Calculation 2 11 2 10" xfId="2448" xr:uid="{00000000-0005-0000-0000-00001D000000}"/>
    <cellStyle name="Calculation 2 11 2 11" xfId="2686" xr:uid="{00000000-0005-0000-0000-00001D000000}"/>
    <cellStyle name="Calculation 2 11 2 12" xfId="2609" xr:uid="{00000000-0005-0000-0000-00001D000000}"/>
    <cellStyle name="Calculation 2 11 2 13" xfId="3175" xr:uid="{00000000-0005-0000-0000-00001D000000}"/>
    <cellStyle name="Calculation 2 11 2 14" xfId="2941" xr:uid="{00000000-0005-0000-0000-00001D000000}"/>
    <cellStyle name="Calculation 2 11 2 15" xfId="3643" xr:uid="{00000000-0005-0000-0000-00001D000000}"/>
    <cellStyle name="Calculation 2 11 2 16" xfId="3885" xr:uid="{00000000-0005-0000-0000-00001D000000}"/>
    <cellStyle name="Calculation 2 11 2 17" xfId="4114" xr:uid="{00000000-0005-0000-0000-00001D000000}"/>
    <cellStyle name="Calculation 2 11 2 18" xfId="4367" xr:uid="{00000000-0005-0000-0000-00001D000000}"/>
    <cellStyle name="Calculation 2 11 2 19" xfId="4561" xr:uid="{00000000-0005-0000-0000-00001D000000}"/>
    <cellStyle name="Calculation 2 11 2 2" xfId="535" xr:uid="{00000000-0005-0000-0000-00001D000000}"/>
    <cellStyle name="Calculation 2 11 2 20" xfId="4816" xr:uid="{00000000-0005-0000-0000-00001D000000}"/>
    <cellStyle name="Calculation 2 11 2 3" xfId="298" xr:uid="{00000000-0005-0000-0000-00001D000000}"/>
    <cellStyle name="Calculation 2 11 2 4" xfId="796" xr:uid="{00000000-0005-0000-0000-00001D000000}"/>
    <cellStyle name="Calculation 2 11 2 5" xfId="1227" xr:uid="{00000000-0005-0000-0000-00001D000000}"/>
    <cellStyle name="Calculation 2 11 2 6" xfId="1464" xr:uid="{00000000-0005-0000-0000-00001D000000}"/>
    <cellStyle name="Calculation 2 11 2 7" xfId="1700" xr:uid="{00000000-0005-0000-0000-00001D000000}"/>
    <cellStyle name="Calculation 2 11 2 8" xfId="1936" xr:uid="{00000000-0005-0000-0000-00001D000000}"/>
    <cellStyle name="Calculation 2 11 2 9" xfId="2216" xr:uid="{00000000-0005-0000-0000-00001D000000}"/>
    <cellStyle name="Calculation 2 11 20" xfId="3683" xr:uid="{00000000-0005-0000-0000-00001C000000}"/>
    <cellStyle name="Calculation 2 11 21" xfId="4696" xr:uid="{00000000-0005-0000-0000-00001C000000}"/>
    <cellStyle name="Calculation 2 11 3" xfId="414" xr:uid="{00000000-0005-0000-0000-00001C000000}"/>
    <cellStyle name="Calculation 2 11 4" xfId="695" xr:uid="{00000000-0005-0000-0000-00001C000000}"/>
    <cellStyle name="Calculation 2 11 5" xfId="818" xr:uid="{00000000-0005-0000-0000-00001C000000}"/>
    <cellStyle name="Calculation 2 11 6" xfId="1107" xr:uid="{00000000-0005-0000-0000-00001C000000}"/>
    <cellStyle name="Calculation 2 11 7" xfId="1344" xr:uid="{00000000-0005-0000-0000-00001C000000}"/>
    <cellStyle name="Calculation 2 11 8" xfId="1580" xr:uid="{00000000-0005-0000-0000-00001C000000}"/>
    <cellStyle name="Calculation 2 11 9" xfId="1816" xr:uid="{00000000-0005-0000-0000-00001C000000}"/>
    <cellStyle name="Calculation 2 12" xfId="141" xr:uid="{00000000-0005-0000-0000-00001E000000}"/>
    <cellStyle name="Calculation 2 12 10" xfId="2102" xr:uid="{00000000-0005-0000-0000-00001E000000}"/>
    <cellStyle name="Calculation 2 12 11" xfId="2296" xr:uid="{00000000-0005-0000-0000-00001E000000}"/>
    <cellStyle name="Calculation 2 12 12" xfId="2536" xr:uid="{00000000-0005-0000-0000-00001E000000}"/>
    <cellStyle name="Calculation 2 12 13" xfId="2784" xr:uid="{00000000-0005-0000-0000-00001E000000}"/>
    <cellStyle name="Calculation 2 12 14" xfId="3061" xr:uid="{00000000-0005-0000-0000-00001E000000}"/>
    <cellStyle name="Calculation 2 12 15" xfId="3263" xr:uid="{00000000-0005-0000-0000-00001E000000}"/>
    <cellStyle name="Calculation 2 12 16" xfId="3529" xr:uid="{00000000-0005-0000-0000-00001E000000}"/>
    <cellStyle name="Calculation 2 12 17" xfId="3735" xr:uid="{00000000-0005-0000-0000-00001E000000}"/>
    <cellStyle name="Calculation 2 12 18" xfId="4029" xr:uid="{00000000-0005-0000-0000-00001E000000}"/>
    <cellStyle name="Calculation 2 12 19" xfId="4253" xr:uid="{00000000-0005-0000-0000-00001E000000}"/>
    <cellStyle name="Calculation 2 12 2" xfId="262" xr:uid="{00000000-0005-0000-0000-00001F000000}"/>
    <cellStyle name="Calculation 2 12 2 10" xfId="2474" xr:uid="{00000000-0005-0000-0000-00001F000000}"/>
    <cellStyle name="Calculation 2 12 2 11" xfId="2712" xr:uid="{00000000-0005-0000-0000-00001F000000}"/>
    <cellStyle name="Calculation 2 12 2 12" xfId="2338" xr:uid="{00000000-0005-0000-0000-00001F000000}"/>
    <cellStyle name="Calculation 2 12 2 13" xfId="3182" xr:uid="{00000000-0005-0000-0000-00001F000000}"/>
    <cellStyle name="Calculation 2 12 2 14" xfId="2865" xr:uid="{00000000-0005-0000-0000-00001F000000}"/>
    <cellStyle name="Calculation 2 12 2 15" xfId="3650" xr:uid="{00000000-0005-0000-0000-00001F000000}"/>
    <cellStyle name="Calculation 2 12 2 16" xfId="3911" xr:uid="{00000000-0005-0000-0000-00001F000000}"/>
    <cellStyle name="Calculation 2 12 2 17" xfId="4084" xr:uid="{00000000-0005-0000-0000-00001F000000}"/>
    <cellStyle name="Calculation 2 12 2 18" xfId="4374" xr:uid="{00000000-0005-0000-0000-00001F000000}"/>
    <cellStyle name="Calculation 2 12 2 19" xfId="4580" xr:uid="{00000000-0005-0000-0000-00001F000000}"/>
    <cellStyle name="Calculation 2 12 2 2" xfId="542" xr:uid="{00000000-0005-0000-0000-00001F000000}"/>
    <cellStyle name="Calculation 2 12 2 20" xfId="4823" xr:uid="{00000000-0005-0000-0000-00001F000000}"/>
    <cellStyle name="Calculation 2 12 2 3" xfId="305" xr:uid="{00000000-0005-0000-0000-00001F000000}"/>
    <cellStyle name="Calculation 2 12 2 4" xfId="772" xr:uid="{00000000-0005-0000-0000-00001F000000}"/>
    <cellStyle name="Calculation 2 12 2 5" xfId="1234" xr:uid="{00000000-0005-0000-0000-00001F000000}"/>
    <cellStyle name="Calculation 2 12 2 6" xfId="1471" xr:uid="{00000000-0005-0000-0000-00001F000000}"/>
    <cellStyle name="Calculation 2 12 2 7" xfId="1707" xr:uid="{00000000-0005-0000-0000-00001F000000}"/>
    <cellStyle name="Calculation 2 12 2 8" xfId="1943" xr:uid="{00000000-0005-0000-0000-00001F000000}"/>
    <cellStyle name="Calculation 2 12 2 9" xfId="2223" xr:uid="{00000000-0005-0000-0000-00001F000000}"/>
    <cellStyle name="Calculation 2 12 20" xfId="4458" xr:uid="{00000000-0005-0000-0000-00001E000000}"/>
    <cellStyle name="Calculation 2 12 21" xfId="4703" xr:uid="{00000000-0005-0000-0000-00001E000000}"/>
    <cellStyle name="Calculation 2 12 3" xfId="421" xr:uid="{00000000-0005-0000-0000-00001E000000}"/>
    <cellStyle name="Calculation 2 12 4" xfId="740" xr:uid="{00000000-0005-0000-0000-00001E000000}"/>
    <cellStyle name="Calculation 2 12 5" xfId="860" xr:uid="{00000000-0005-0000-0000-00001E000000}"/>
    <cellStyle name="Calculation 2 12 6" xfId="1114" xr:uid="{00000000-0005-0000-0000-00001E000000}"/>
    <cellStyle name="Calculation 2 12 7" xfId="1351" xr:uid="{00000000-0005-0000-0000-00001E000000}"/>
    <cellStyle name="Calculation 2 12 8" xfId="1587" xr:uid="{00000000-0005-0000-0000-00001E000000}"/>
    <cellStyle name="Calculation 2 12 9" xfId="1823" xr:uid="{00000000-0005-0000-0000-00001E000000}"/>
    <cellStyle name="Calculation 2 13" xfId="160" xr:uid="{00000000-0005-0000-0000-000020000000}"/>
    <cellStyle name="Calculation 2 13 10" xfId="2329" xr:uid="{00000000-0005-0000-0000-000020000000}"/>
    <cellStyle name="Calculation 2 13 11" xfId="2569" xr:uid="{00000000-0005-0000-0000-000020000000}"/>
    <cellStyle name="Calculation 2 13 12" xfId="2886" xr:uid="{00000000-0005-0000-0000-000020000000}"/>
    <cellStyle name="Calculation 2 13 13" xfId="3080" xr:uid="{00000000-0005-0000-0000-000020000000}"/>
    <cellStyle name="Calculation 2 13 14" xfId="3363" xr:uid="{00000000-0005-0000-0000-000020000000}"/>
    <cellStyle name="Calculation 2 13 15" xfId="3548" xr:uid="{00000000-0005-0000-0000-000020000000}"/>
    <cellStyle name="Calculation 2 13 16" xfId="3767" xr:uid="{00000000-0005-0000-0000-000020000000}"/>
    <cellStyle name="Calculation 2 13 17" xfId="3961" xr:uid="{00000000-0005-0000-0000-000020000000}"/>
    <cellStyle name="Calculation 2 13 18" xfId="4272" xr:uid="{00000000-0005-0000-0000-000020000000}"/>
    <cellStyle name="Calculation 2 13 19" xfId="4462" xr:uid="{00000000-0005-0000-0000-000020000000}"/>
    <cellStyle name="Calculation 2 13 2" xfId="440" xr:uid="{00000000-0005-0000-0000-000020000000}"/>
    <cellStyle name="Calculation 2 13 20" xfId="4721" xr:uid="{00000000-0005-0000-0000-000020000000}"/>
    <cellStyle name="Calculation 2 13 3" xfId="604" xr:uid="{00000000-0005-0000-0000-000020000000}"/>
    <cellStyle name="Calculation 2 13 4" xfId="954" xr:uid="{00000000-0005-0000-0000-000020000000}"/>
    <cellStyle name="Calculation 2 13 5" xfId="1132" xr:uid="{00000000-0005-0000-0000-000020000000}"/>
    <cellStyle name="Calculation 2 13 6" xfId="1369" xr:uid="{00000000-0005-0000-0000-000020000000}"/>
    <cellStyle name="Calculation 2 13 7" xfId="1605" xr:uid="{00000000-0005-0000-0000-000020000000}"/>
    <cellStyle name="Calculation 2 13 8" xfId="1841" xr:uid="{00000000-0005-0000-0000-000020000000}"/>
    <cellStyle name="Calculation 2 13 9" xfId="2121" xr:uid="{00000000-0005-0000-0000-000020000000}"/>
    <cellStyle name="Calculation 2 14" xfId="307" xr:uid="{00000000-0005-0000-0000-000019000000}"/>
    <cellStyle name="Calculation 2 15" xfId="638" xr:uid="{00000000-0005-0000-0000-000019000000}"/>
    <cellStyle name="Calculation 2 16" xfId="987" xr:uid="{00000000-0005-0000-0000-000019000000}"/>
    <cellStyle name="Calculation 2 17" xfId="934" xr:uid="{00000000-0005-0000-0000-000019000000}"/>
    <cellStyle name="Calculation 2 18" xfId="902" xr:uid="{00000000-0005-0000-0000-000019000000}"/>
    <cellStyle name="Calculation 2 19" xfId="1016" xr:uid="{00000000-0005-0000-0000-000019000000}"/>
    <cellStyle name="Calculation 2 2" xfId="55" xr:uid="{00000000-0005-0000-0000-000021000000}"/>
    <cellStyle name="Calculation 2 2 10" xfId="2016" xr:uid="{00000000-0005-0000-0000-000021000000}"/>
    <cellStyle name="Calculation 2 2 11" xfId="2373" xr:uid="{00000000-0005-0000-0000-000021000000}"/>
    <cellStyle name="Calculation 2 2 12" xfId="2611" xr:uid="{00000000-0005-0000-0000-000021000000}"/>
    <cellStyle name="Calculation 2 2 13" xfId="2919" xr:uid="{00000000-0005-0000-0000-000021000000}"/>
    <cellStyle name="Calculation 2 2 14" xfId="2975" xr:uid="{00000000-0005-0000-0000-000021000000}"/>
    <cellStyle name="Calculation 2 2 15" xfId="3395" xr:uid="{00000000-0005-0000-0000-000021000000}"/>
    <cellStyle name="Calculation 2 2 16" xfId="3443" xr:uid="{00000000-0005-0000-0000-000021000000}"/>
    <cellStyle name="Calculation 2 2 17" xfId="3810" xr:uid="{00000000-0005-0000-0000-000021000000}"/>
    <cellStyle name="Calculation 2 2 18" xfId="3884" xr:uid="{00000000-0005-0000-0000-000021000000}"/>
    <cellStyle name="Calculation 2 2 19" xfId="4167" xr:uid="{00000000-0005-0000-0000-000021000000}"/>
    <cellStyle name="Calculation 2 2 2" xfId="176" xr:uid="{00000000-0005-0000-0000-000022000000}"/>
    <cellStyle name="Calculation 2 2 2 10" xfId="2309" xr:uid="{00000000-0005-0000-0000-000022000000}"/>
    <cellStyle name="Calculation 2 2 2 11" xfId="2549" xr:uid="{00000000-0005-0000-0000-000022000000}"/>
    <cellStyle name="Calculation 2 2 2 12" xfId="2912" xr:uid="{00000000-0005-0000-0000-000022000000}"/>
    <cellStyle name="Calculation 2 2 2 13" xfId="3096" xr:uid="{00000000-0005-0000-0000-000022000000}"/>
    <cellStyle name="Calculation 2 2 2 14" xfId="3388" xr:uid="{00000000-0005-0000-0000-000022000000}"/>
    <cellStyle name="Calculation 2 2 2 15" xfId="3564" xr:uid="{00000000-0005-0000-0000-000022000000}"/>
    <cellStyle name="Calculation 2 2 2 16" xfId="3748" xr:uid="{00000000-0005-0000-0000-000022000000}"/>
    <cellStyle name="Calculation 2 2 2 17" xfId="4051" xr:uid="{00000000-0005-0000-0000-000022000000}"/>
    <cellStyle name="Calculation 2 2 2 18" xfId="4288" xr:uid="{00000000-0005-0000-0000-000022000000}"/>
    <cellStyle name="Calculation 2 2 2 19" xfId="4478" xr:uid="{00000000-0005-0000-0000-000022000000}"/>
    <cellStyle name="Calculation 2 2 2 2" xfId="456" xr:uid="{00000000-0005-0000-0000-000022000000}"/>
    <cellStyle name="Calculation 2 2 2 20" xfId="4737" xr:uid="{00000000-0005-0000-0000-000022000000}"/>
    <cellStyle name="Calculation 2 2 2 3" xfId="624" xr:uid="{00000000-0005-0000-0000-000022000000}"/>
    <cellStyle name="Calculation 2 2 2 4" xfId="978" xr:uid="{00000000-0005-0000-0000-000022000000}"/>
    <cellStyle name="Calculation 2 2 2 5" xfId="1148" xr:uid="{00000000-0005-0000-0000-000022000000}"/>
    <cellStyle name="Calculation 2 2 2 6" xfId="1385" xr:uid="{00000000-0005-0000-0000-000022000000}"/>
    <cellStyle name="Calculation 2 2 2 7" xfId="1621" xr:uid="{00000000-0005-0000-0000-000022000000}"/>
    <cellStyle name="Calculation 2 2 2 8" xfId="1857" xr:uid="{00000000-0005-0000-0000-000022000000}"/>
    <cellStyle name="Calculation 2 2 2 9" xfId="2137" xr:uid="{00000000-0005-0000-0000-000022000000}"/>
    <cellStyle name="Calculation 2 2 20" xfId="4098" xr:uid="{00000000-0005-0000-0000-000021000000}"/>
    <cellStyle name="Calculation 2 2 21" xfId="4617" xr:uid="{00000000-0005-0000-0000-000021000000}"/>
    <cellStyle name="Calculation 2 2 3" xfId="335" xr:uid="{00000000-0005-0000-0000-000021000000}"/>
    <cellStyle name="Calculation 2 2 4" xfId="617" xr:uid="{00000000-0005-0000-0000-000021000000}"/>
    <cellStyle name="Calculation 2 2 5" xfId="985" xr:uid="{00000000-0005-0000-0000-000021000000}"/>
    <cellStyle name="Calculation 2 2 6" xfId="1028" xr:uid="{00000000-0005-0000-0000-000021000000}"/>
    <cellStyle name="Calculation 2 2 7" xfId="1265" xr:uid="{00000000-0005-0000-0000-000021000000}"/>
    <cellStyle name="Calculation 2 2 8" xfId="1501" xr:uid="{00000000-0005-0000-0000-000021000000}"/>
    <cellStyle name="Calculation 2 2 9" xfId="1737" xr:uid="{00000000-0005-0000-0000-000021000000}"/>
    <cellStyle name="Calculation 2 20" xfId="1253" xr:uid="{00000000-0005-0000-0000-000019000000}"/>
    <cellStyle name="Calculation 2 21" xfId="1988" xr:uid="{00000000-0005-0000-0000-000019000000}"/>
    <cellStyle name="Calculation 2 22" xfId="2256" xr:uid="{00000000-0005-0000-0000-000019000000}"/>
    <cellStyle name="Calculation 2 23" xfId="2496" xr:uid="{00000000-0005-0000-0000-000019000000}"/>
    <cellStyle name="Calculation 2 24" xfId="2922" xr:uid="{00000000-0005-0000-0000-000019000000}"/>
    <cellStyle name="Calculation 2 25" xfId="2888" xr:uid="{00000000-0005-0000-0000-000019000000}"/>
    <cellStyle name="Calculation 2 26" xfId="3397" xr:uid="{00000000-0005-0000-0000-000019000000}"/>
    <cellStyle name="Calculation 2 27" xfId="3341" xr:uid="{00000000-0005-0000-0000-000019000000}"/>
    <cellStyle name="Calculation 2 28" xfId="3695" xr:uid="{00000000-0005-0000-0000-000019000000}"/>
    <cellStyle name="Calculation 2 29" xfId="4044" xr:uid="{00000000-0005-0000-0000-000019000000}"/>
    <cellStyle name="Calculation 2 3" xfId="51" xr:uid="{00000000-0005-0000-0000-000023000000}"/>
    <cellStyle name="Calculation 2 3 10" xfId="2012" xr:uid="{00000000-0005-0000-0000-000023000000}"/>
    <cellStyle name="Calculation 2 3 11" xfId="1980" xr:uid="{00000000-0005-0000-0000-000023000000}"/>
    <cellStyle name="Calculation 2 3 12" xfId="2418" xr:uid="{00000000-0005-0000-0000-000023000000}"/>
    <cellStyle name="Calculation 2 3 13" xfId="2934" xr:uid="{00000000-0005-0000-0000-000023000000}"/>
    <cellStyle name="Calculation 2 3 14" xfId="2971" xr:uid="{00000000-0005-0000-0000-000023000000}"/>
    <cellStyle name="Calculation 2 3 15" xfId="3408" xr:uid="{00000000-0005-0000-0000-000023000000}"/>
    <cellStyle name="Calculation 2 3 16" xfId="3439" xr:uid="{00000000-0005-0000-0000-000023000000}"/>
    <cellStyle name="Calculation 2 3 17" xfId="2829" xr:uid="{00000000-0005-0000-0000-000023000000}"/>
    <cellStyle name="Calculation 2 3 18" xfId="3858" xr:uid="{00000000-0005-0000-0000-000023000000}"/>
    <cellStyle name="Calculation 2 3 19" xfId="4163" xr:uid="{00000000-0005-0000-0000-000023000000}"/>
    <cellStyle name="Calculation 2 3 2" xfId="172" xr:uid="{00000000-0005-0000-0000-000024000000}"/>
    <cellStyle name="Calculation 2 3 2 10" xfId="1971" xr:uid="{00000000-0005-0000-0000-000024000000}"/>
    <cellStyle name="Calculation 2 3 2 11" xfId="2447" xr:uid="{00000000-0005-0000-0000-000024000000}"/>
    <cellStyle name="Calculation 2 3 2 12" xfId="2827" xr:uid="{00000000-0005-0000-0000-000024000000}"/>
    <cellStyle name="Calculation 2 3 2 13" xfId="3092" xr:uid="{00000000-0005-0000-0000-000024000000}"/>
    <cellStyle name="Calculation 2 3 2 14" xfId="3303" xr:uid="{00000000-0005-0000-0000-000024000000}"/>
    <cellStyle name="Calculation 2 3 2 15" xfId="3560" xr:uid="{00000000-0005-0000-0000-000024000000}"/>
    <cellStyle name="Calculation 2 3 2 16" xfId="3673" xr:uid="{00000000-0005-0000-0000-000024000000}"/>
    <cellStyle name="Calculation 2 3 2 17" xfId="4001" xr:uid="{00000000-0005-0000-0000-000024000000}"/>
    <cellStyle name="Calculation 2 3 2 18" xfId="4284" xr:uid="{00000000-0005-0000-0000-000024000000}"/>
    <cellStyle name="Calculation 2 3 2 19" xfId="4590" xr:uid="{00000000-0005-0000-0000-000024000000}"/>
    <cellStyle name="Calculation 2 3 2 2" xfId="452" xr:uid="{00000000-0005-0000-0000-000024000000}"/>
    <cellStyle name="Calculation 2 3 2 20" xfId="4733" xr:uid="{00000000-0005-0000-0000-000024000000}"/>
    <cellStyle name="Calculation 2 3 2 3" xfId="566" xr:uid="{00000000-0005-0000-0000-000024000000}"/>
    <cellStyle name="Calculation 2 3 2 4" xfId="900" xr:uid="{00000000-0005-0000-0000-000024000000}"/>
    <cellStyle name="Calculation 2 3 2 5" xfId="1144" xr:uid="{00000000-0005-0000-0000-000024000000}"/>
    <cellStyle name="Calculation 2 3 2 6" xfId="1381" xr:uid="{00000000-0005-0000-0000-000024000000}"/>
    <cellStyle name="Calculation 2 3 2 7" xfId="1617" xr:uid="{00000000-0005-0000-0000-000024000000}"/>
    <cellStyle name="Calculation 2 3 2 8" xfId="1853" xr:uid="{00000000-0005-0000-0000-000024000000}"/>
    <cellStyle name="Calculation 2 3 2 9" xfId="2133" xr:uid="{00000000-0005-0000-0000-000024000000}"/>
    <cellStyle name="Calculation 2 3 20" xfId="4477" xr:uid="{00000000-0005-0000-0000-000023000000}"/>
    <cellStyle name="Calculation 2 3 21" xfId="4613" xr:uid="{00000000-0005-0000-0000-000023000000}"/>
    <cellStyle name="Calculation 2 3 3" xfId="331" xr:uid="{00000000-0005-0000-0000-000023000000}"/>
    <cellStyle name="Calculation 2 3 4" xfId="651" xr:uid="{00000000-0005-0000-0000-000023000000}"/>
    <cellStyle name="Calculation 2 3 5" xfId="997" xr:uid="{00000000-0005-0000-0000-000023000000}"/>
    <cellStyle name="Calculation 2 3 6" xfId="1024" xr:uid="{00000000-0005-0000-0000-000023000000}"/>
    <cellStyle name="Calculation 2 3 7" xfId="1261" xr:uid="{00000000-0005-0000-0000-000023000000}"/>
    <cellStyle name="Calculation 2 3 8" xfId="1497" xr:uid="{00000000-0005-0000-0000-000023000000}"/>
    <cellStyle name="Calculation 2 3 9" xfId="1733" xr:uid="{00000000-0005-0000-0000-000023000000}"/>
    <cellStyle name="Calculation 2 30" xfId="4107" xr:uid="{00000000-0005-0000-0000-000019000000}"/>
    <cellStyle name="Calculation 2 31" xfId="3926" xr:uid="{00000000-0005-0000-0000-000019000000}"/>
    <cellStyle name="Calculation 2 32" xfId="4502" xr:uid="{00000000-0005-0000-0000-000019000000}"/>
    <cellStyle name="Calculation 2 4" xfId="59" xr:uid="{00000000-0005-0000-0000-000025000000}"/>
    <cellStyle name="Calculation 2 4 10" xfId="2020" xr:uid="{00000000-0005-0000-0000-000025000000}"/>
    <cellStyle name="Calculation 2 4 11" xfId="2442" xr:uid="{00000000-0005-0000-0000-000025000000}"/>
    <cellStyle name="Calculation 2 4 12" xfId="2680" xr:uid="{00000000-0005-0000-0000-000025000000}"/>
    <cellStyle name="Calculation 2 4 13" xfId="2887" xr:uid="{00000000-0005-0000-0000-000025000000}"/>
    <cellStyle name="Calculation 2 4 14" xfId="2979" xr:uid="{00000000-0005-0000-0000-000025000000}"/>
    <cellStyle name="Calculation 2 4 15" xfId="3364" xr:uid="{00000000-0005-0000-0000-000025000000}"/>
    <cellStyle name="Calculation 2 4 16" xfId="3447" xr:uid="{00000000-0005-0000-0000-000025000000}"/>
    <cellStyle name="Calculation 2 4 17" xfId="3879" xr:uid="{00000000-0005-0000-0000-000025000000}"/>
    <cellStyle name="Calculation 2 4 18" xfId="4007" xr:uid="{00000000-0005-0000-0000-000025000000}"/>
    <cellStyle name="Calculation 2 4 19" xfId="4171" xr:uid="{00000000-0005-0000-0000-000025000000}"/>
    <cellStyle name="Calculation 2 4 2" xfId="180" xr:uid="{00000000-0005-0000-0000-000026000000}"/>
    <cellStyle name="Calculation 2 4 2 10" xfId="2441" xr:uid="{00000000-0005-0000-0000-000026000000}"/>
    <cellStyle name="Calculation 2 4 2 11" xfId="2679" xr:uid="{00000000-0005-0000-0000-000026000000}"/>
    <cellStyle name="Calculation 2 4 2 12" xfId="2907" xr:uid="{00000000-0005-0000-0000-000026000000}"/>
    <cellStyle name="Calculation 2 4 2 13" xfId="3100" xr:uid="{00000000-0005-0000-0000-000026000000}"/>
    <cellStyle name="Calculation 2 4 2 14" xfId="3383" xr:uid="{00000000-0005-0000-0000-000026000000}"/>
    <cellStyle name="Calculation 2 4 2 15" xfId="3568" xr:uid="{00000000-0005-0000-0000-000026000000}"/>
    <cellStyle name="Calculation 2 4 2 16" xfId="3878" xr:uid="{00000000-0005-0000-0000-000026000000}"/>
    <cellStyle name="Calculation 2 4 2 17" xfId="3924" xr:uid="{00000000-0005-0000-0000-000026000000}"/>
    <cellStyle name="Calculation 2 4 2 18" xfId="4292" xr:uid="{00000000-0005-0000-0000-000026000000}"/>
    <cellStyle name="Calculation 2 4 2 19" xfId="4550" xr:uid="{00000000-0005-0000-0000-000026000000}"/>
    <cellStyle name="Calculation 2 4 2 2" xfId="460" xr:uid="{00000000-0005-0000-0000-000026000000}"/>
    <cellStyle name="Calculation 2 4 2 20" xfId="4741" xr:uid="{00000000-0005-0000-0000-000026000000}"/>
    <cellStyle name="Calculation 2 4 2 3" xfId="600" xr:uid="{00000000-0005-0000-0000-000026000000}"/>
    <cellStyle name="Calculation 2 4 2 4" xfId="973" xr:uid="{00000000-0005-0000-0000-000026000000}"/>
    <cellStyle name="Calculation 2 4 2 5" xfId="1152" xr:uid="{00000000-0005-0000-0000-000026000000}"/>
    <cellStyle name="Calculation 2 4 2 6" xfId="1389" xr:uid="{00000000-0005-0000-0000-000026000000}"/>
    <cellStyle name="Calculation 2 4 2 7" xfId="1625" xr:uid="{00000000-0005-0000-0000-000026000000}"/>
    <cellStyle name="Calculation 2 4 2 8" xfId="1861" xr:uid="{00000000-0005-0000-0000-000026000000}"/>
    <cellStyle name="Calculation 2 4 2 9" xfId="2141" xr:uid="{00000000-0005-0000-0000-000026000000}"/>
    <cellStyle name="Calculation 2 4 20" xfId="4479" xr:uid="{00000000-0005-0000-0000-000025000000}"/>
    <cellStyle name="Calculation 2 4 21" xfId="4621" xr:uid="{00000000-0005-0000-0000-000025000000}"/>
    <cellStyle name="Calculation 2 4 3" xfId="339" xr:uid="{00000000-0005-0000-0000-000025000000}"/>
    <cellStyle name="Calculation 2 4 4" xfId="605" xr:uid="{00000000-0005-0000-0000-000025000000}"/>
    <cellStyle name="Calculation 2 4 5" xfId="955" xr:uid="{00000000-0005-0000-0000-000025000000}"/>
    <cellStyle name="Calculation 2 4 6" xfId="1032" xr:uid="{00000000-0005-0000-0000-000025000000}"/>
    <cellStyle name="Calculation 2 4 7" xfId="1269" xr:uid="{00000000-0005-0000-0000-000025000000}"/>
    <cellStyle name="Calculation 2 4 8" xfId="1505" xr:uid="{00000000-0005-0000-0000-000025000000}"/>
    <cellStyle name="Calculation 2 4 9" xfId="1741" xr:uid="{00000000-0005-0000-0000-000025000000}"/>
    <cellStyle name="Calculation 2 5" xfId="54" xr:uid="{00000000-0005-0000-0000-000027000000}"/>
    <cellStyle name="Calculation 2 5 10" xfId="2015" xr:uid="{00000000-0005-0000-0000-000027000000}"/>
    <cellStyle name="Calculation 2 5 11" xfId="2375" xr:uid="{00000000-0005-0000-0000-000027000000}"/>
    <cellStyle name="Calculation 2 5 12" xfId="2613" xr:uid="{00000000-0005-0000-0000-000027000000}"/>
    <cellStyle name="Calculation 2 5 13" xfId="2809" xr:uid="{00000000-0005-0000-0000-000027000000}"/>
    <cellStyle name="Calculation 2 5 14" xfId="2974" xr:uid="{00000000-0005-0000-0000-000027000000}"/>
    <cellStyle name="Calculation 2 5 15" xfId="3287" xr:uid="{00000000-0005-0000-0000-000027000000}"/>
    <cellStyle name="Calculation 2 5 16" xfId="3442" xr:uid="{00000000-0005-0000-0000-000027000000}"/>
    <cellStyle name="Calculation 2 5 17" xfId="3812" xr:uid="{00000000-0005-0000-0000-000027000000}"/>
    <cellStyle name="Calculation 2 5 18" xfId="4092" xr:uid="{00000000-0005-0000-0000-000027000000}"/>
    <cellStyle name="Calculation 2 5 19" xfId="4166" xr:uid="{00000000-0005-0000-0000-000027000000}"/>
    <cellStyle name="Calculation 2 5 2" xfId="175" xr:uid="{00000000-0005-0000-0000-000028000000}"/>
    <cellStyle name="Calculation 2 5 2 10" xfId="2462" xr:uid="{00000000-0005-0000-0000-000028000000}"/>
    <cellStyle name="Calculation 2 5 2 11" xfId="2700" xr:uid="{00000000-0005-0000-0000-000028000000}"/>
    <cellStyle name="Calculation 2 5 2 12" xfId="2725" xr:uid="{00000000-0005-0000-0000-000028000000}"/>
    <cellStyle name="Calculation 2 5 2 13" xfId="3095" xr:uid="{00000000-0005-0000-0000-000028000000}"/>
    <cellStyle name="Calculation 2 5 2 14" xfId="3207" xr:uid="{00000000-0005-0000-0000-000028000000}"/>
    <cellStyle name="Calculation 2 5 2 15" xfId="3563" xr:uid="{00000000-0005-0000-0000-000028000000}"/>
    <cellStyle name="Calculation 2 5 2 16" xfId="3899" xr:uid="{00000000-0005-0000-0000-000028000000}"/>
    <cellStyle name="Calculation 2 5 2 17" xfId="4027" xr:uid="{00000000-0005-0000-0000-000028000000}"/>
    <cellStyle name="Calculation 2 5 2 18" xfId="4287" xr:uid="{00000000-0005-0000-0000-000028000000}"/>
    <cellStyle name="Calculation 2 5 2 19" xfId="4581" xr:uid="{00000000-0005-0000-0000-000028000000}"/>
    <cellStyle name="Calculation 2 5 2 2" xfId="455" xr:uid="{00000000-0005-0000-0000-000028000000}"/>
    <cellStyle name="Calculation 2 5 2 20" xfId="4736" xr:uid="{00000000-0005-0000-0000-000028000000}"/>
    <cellStyle name="Calculation 2 5 2 3" xfId="743" xr:uid="{00000000-0005-0000-0000-000028000000}"/>
    <cellStyle name="Calculation 2 5 2 4" xfId="805" xr:uid="{00000000-0005-0000-0000-000028000000}"/>
    <cellStyle name="Calculation 2 5 2 5" xfId="1147" xr:uid="{00000000-0005-0000-0000-000028000000}"/>
    <cellStyle name="Calculation 2 5 2 6" xfId="1384" xr:uid="{00000000-0005-0000-0000-000028000000}"/>
    <cellStyle name="Calculation 2 5 2 7" xfId="1620" xr:uid="{00000000-0005-0000-0000-000028000000}"/>
    <cellStyle name="Calculation 2 5 2 8" xfId="1856" xr:uid="{00000000-0005-0000-0000-000028000000}"/>
    <cellStyle name="Calculation 2 5 2 9" xfId="2136" xr:uid="{00000000-0005-0000-0000-000028000000}"/>
    <cellStyle name="Calculation 2 5 20" xfId="4593" xr:uid="{00000000-0005-0000-0000-000027000000}"/>
    <cellStyle name="Calculation 2 5 21" xfId="4616" xr:uid="{00000000-0005-0000-0000-000027000000}"/>
    <cellStyle name="Calculation 2 5 3" xfId="334" xr:uid="{00000000-0005-0000-0000-000027000000}"/>
    <cellStyle name="Calculation 2 5 4" xfId="736" xr:uid="{00000000-0005-0000-0000-000027000000}"/>
    <cellStyle name="Calculation 2 5 5" xfId="885" xr:uid="{00000000-0005-0000-0000-000027000000}"/>
    <cellStyle name="Calculation 2 5 6" xfId="1027" xr:uid="{00000000-0005-0000-0000-000027000000}"/>
    <cellStyle name="Calculation 2 5 7" xfId="1264" xr:uid="{00000000-0005-0000-0000-000027000000}"/>
    <cellStyle name="Calculation 2 5 8" xfId="1500" xr:uid="{00000000-0005-0000-0000-000027000000}"/>
    <cellStyle name="Calculation 2 5 9" xfId="1736" xr:uid="{00000000-0005-0000-0000-000027000000}"/>
    <cellStyle name="Calculation 2 6" xfId="77" xr:uid="{00000000-0005-0000-0000-000029000000}"/>
    <cellStyle name="Calculation 2 6 10" xfId="2038" xr:uid="{00000000-0005-0000-0000-000029000000}"/>
    <cellStyle name="Calculation 2 6 11" xfId="2273" xr:uid="{00000000-0005-0000-0000-000029000000}"/>
    <cellStyle name="Calculation 2 6 12" xfId="2513" xr:uid="{00000000-0005-0000-0000-000029000000}"/>
    <cellStyle name="Calculation 2 6 13" xfId="2896" xr:uid="{00000000-0005-0000-0000-000029000000}"/>
    <cellStyle name="Calculation 2 6 14" xfId="2997" xr:uid="{00000000-0005-0000-0000-000029000000}"/>
    <cellStyle name="Calculation 2 6 15" xfId="3372" xr:uid="{00000000-0005-0000-0000-000029000000}"/>
    <cellStyle name="Calculation 2 6 16" xfId="3465" xr:uid="{00000000-0005-0000-0000-000029000000}"/>
    <cellStyle name="Calculation 2 6 17" xfId="3712" xr:uid="{00000000-0005-0000-0000-000029000000}"/>
    <cellStyle name="Calculation 2 6 18" xfId="3853" xr:uid="{00000000-0005-0000-0000-000029000000}"/>
    <cellStyle name="Calculation 2 6 19" xfId="4189" xr:uid="{00000000-0005-0000-0000-000029000000}"/>
    <cellStyle name="Calculation 2 6 2" xfId="198" xr:uid="{00000000-0005-0000-0000-00002A000000}"/>
    <cellStyle name="Calculation 2 6 2 10" xfId="2458" xr:uid="{00000000-0005-0000-0000-00002A000000}"/>
    <cellStyle name="Calculation 2 6 2 11" xfId="2696" xr:uid="{00000000-0005-0000-0000-00002A000000}"/>
    <cellStyle name="Calculation 2 6 2 12" xfId="2777" xr:uid="{00000000-0005-0000-0000-00002A000000}"/>
    <cellStyle name="Calculation 2 6 2 13" xfId="3118" xr:uid="{00000000-0005-0000-0000-00002A000000}"/>
    <cellStyle name="Calculation 2 6 2 14" xfId="3256" xr:uid="{00000000-0005-0000-0000-00002A000000}"/>
    <cellStyle name="Calculation 2 6 2 15" xfId="3586" xr:uid="{00000000-0005-0000-0000-00002A000000}"/>
    <cellStyle name="Calculation 2 6 2 16" xfId="3895" xr:uid="{00000000-0005-0000-0000-00002A000000}"/>
    <cellStyle name="Calculation 2 6 2 17" xfId="4124" xr:uid="{00000000-0005-0000-0000-00002A000000}"/>
    <cellStyle name="Calculation 2 6 2 18" xfId="4310" xr:uid="{00000000-0005-0000-0000-00002A000000}"/>
    <cellStyle name="Calculation 2 6 2 19" xfId="4564" xr:uid="{00000000-0005-0000-0000-00002A000000}"/>
    <cellStyle name="Calculation 2 6 2 2" xfId="478" xr:uid="{00000000-0005-0000-0000-00002A000000}"/>
    <cellStyle name="Calculation 2 6 2 20" xfId="4759" xr:uid="{00000000-0005-0000-0000-00002A000000}"/>
    <cellStyle name="Calculation 2 6 2 3" xfId="283" xr:uid="{00000000-0005-0000-0000-00002A000000}"/>
    <cellStyle name="Calculation 2 6 2 4" xfId="853" xr:uid="{00000000-0005-0000-0000-00002A000000}"/>
    <cellStyle name="Calculation 2 6 2 5" xfId="1170" xr:uid="{00000000-0005-0000-0000-00002A000000}"/>
    <cellStyle name="Calculation 2 6 2 6" xfId="1407" xr:uid="{00000000-0005-0000-0000-00002A000000}"/>
    <cellStyle name="Calculation 2 6 2 7" xfId="1643" xr:uid="{00000000-0005-0000-0000-00002A000000}"/>
    <cellStyle name="Calculation 2 6 2 8" xfId="1879" xr:uid="{00000000-0005-0000-0000-00002A000000}"/>
    <cellStyle name="Calculation 2 6 2 9" xfId="2159" xr:uid="{00000000-0005-0000-0000-00002A000000}"/>
    <cellStyle name="Calculation 2 6 20" xfId="4468" xr:uid="{00000000-0005-0000-0000-000029000000}"/>
    <cellStyle name="Calculation 2 6 21" xfId="4639" xr:uid="{00000000-0005-0000-0000-000029000000}"/>
    <cellStyle name="Calculation 2 6 3" xfId="357" xr:uid="{00000000-0005-0000-0000-000029000000}"/>
    <cellStyle name="Calculation 2 6 4" xfId="635" xr:uid="{00000000-0005-0000-0000-000029000000}"/>
    <cellStyle name="Calculation 2 6 5" xfId="962" xr:uid="{00000000-0005-0000-0000-000029000000}"/>
    <cellStyle name="Calculation 2 6 6" xfId="1050" xr:uid="{00000000-0005-0000-0000-000029000000}"/>
    <cellStyle name="Calculation 2 6 7" xfId="1287" xr:uid="{00000000-0005-0000-0000-000029000000}"/>
    <cellStyle name="Calculation 2 6 8" xfId="1523" xr:uid="{00000000-0005-0000-0000-000029000000}"/>
    <cellStyle name="Calculation 2 6 9" xfId="1759" xr:uid="{00000000-0005-0000-0000-000029000000}"/>
    <cellStyle name="Calculation 2 7" xfId="108" xr:uid="{00000000-0005-0000-0000-00002B000000}"/>
    <cellStyle name="Calculation 2 7 10" xfId="2069" xr:uid="{00000000-0005-0000-0000-00002B000000}"/>
    <cellStyle name="Calculation 2 7 11" xfId="2380" xr:uid="{00000000-0005-0000-0000-00002B000000}"/>
    <cellStyle name="Calculation 2 7 12" xfId="2618" xr:uid="{00000000-0005-0000-0000-00002B000000}"/>
    <cellStyle name="Calculation 2 7 13" xfId="2768" xr:uid="{00000000-0005-0000-0000-00002B000000}"/>
    <cellStyle name="Calculation 2 7 14" xfId="3028" xr:uid="{00000000-0005-0000-0000-00002B000000}"/>
    <cellStyle name="Calculation 2 7 15" xfId="3248" xr:uid="{00000000-0005-0000-0000-00002B000000}"/>
    <cellStyle name="Calculation 2 7 16" xfId="3496" xr:uid="{00000000-0005-0000-0000-00002B000000}"/>
    <cellStyle name="Calculation 2 7 17" xfId="3817" xr:uid="{00000000-0005-0000-0000-00002B000000}"/>
    <cellStyle name="Calculation 2 7 18" xfId="3997" xr:uid="{00000000-0005-0000-0000-00002B000000}"/>
    <cellStyle name="Calculation 2 7 19" xfId="4220" xr:uid="{00000000-0005-0000-0000-00002B000000}"/>
    <cellStyle name="Calculation 2 7 2" xfId="229" xr:uid="{00000000-0005-0000-0000-00002C000000}"/>
    <cellStyle name="Calculation 2 7 2 10" xfId="1984" xr:uid="{00000000-0005-0000-0000-00002C000000}"/>
    <cellStyle name="Calculation 2 7 2 11" xfId="1974" xr:uid="{00000000-0005-0000-0000-00002C000000}"/>
    <cellStyle name="Calculation 2 7 2 12" xfId="2937" xr:uid="{00000000-0005-0000-0000-00002C000000}"/>
    <cellStyle name="Calculation 2 7 2 13" xfId="3149" xr:uid="{00000000-0005-0000-0000-00002C000000}"/>
    <cellStyle name="Calculation 2 7 2 14" xfId="3412" xr:uid="{00000000-0005-0000-0000-00002C000000}"/>
    <cellStyle name="Calculation 2 7 2 15" xfId="3617" xr:uid="{00000000-0005-0000-0000-00002C000000}"/>
    <cellStyle name="Calculation 2 7 2 16" xfId="3223" xr:uid="{00000000-0005-0000-0000-00002C000000}"/>
    <cellStyle name="Calculation 2 7 2 17" xfId="4087" xr:uid="{00000000-0005-0000-0000-00002C000000}"/>
    <cellStyle name="Calculation 2 7 2 18" xfId="4341" xr:uid="{00000000-0005-0000-0000-00002C000000}"/>
    <cellStyle name="Calculation 2 7 2 19" xfId="4512" xr:uid="{00000000-0005-0000-0000-00002C000000}"/>
    <cellStyle name="Calculation 2 7 2 2" xfId="509" xr:uid="{00000000-0005-0000-0000-00002C000000}"/>
    <cellStyle name="Calculation 2 7 2 20" xfId="4790" xr:uid="{00000000-0005-0000-0000-00002C000000}"/>
    <cellStyle name="Calculation 2 7 2 3" xfId="758" xr:uid="{00000000-0005-0000-0000-00002C000000}"/>
    <cellStyle name="Calculation 2 7 2 4" xfId="1000" xr:uid="{00000000-0005-0000-0000-00002C000000}"/>
    <cellStyle name="Calculation 2 7 2 5" xfId="1201" xr:uid="{00000000-0005-0000-0000-00002C000000}"/>
    <cellStyle name="Calculation 2 7 2 6" xfId="1438" xr:uid="{00000000-0005-0000-0000-00002C000000}"/>
    <cellStyle name="Calculation 2 7 2 7" xfId="1674" xr:uid="{00000000-0005-0000-0000-00002C000000}"/>
    <cellStyle name="Calculation 2 7 2 8" xfId="1910" xr:uid="{00000000-0005-0000-0000-00002C000000}"/>
    <cellStyle name="Calculation 2 7 2 9" xfId="2190" xr:uid="{00000000-0005-0000-0000-00002C000000}"/>
    <cellStyle name="Calculation 2 7 20" xfId="4490" xr:uid="{00000000-0005-0000-0000-00002B000000}"/>
    <cellStyle name="Calculation 2 7 21" xfId="4670" xr:uid="{00000000-0005-0000-0000-00002B000000}"/>
    <cellStyle name="Calculation 2 7 3" xfId="388" xr:uid="{00000000-0005-0000-0000-00002B000000}"/>
    <cellStyle name="Calculation 2 7 4" xfId="712" xr:uid="{00000000-0005-0000-0000-00002B000000}"/>
    <cellStyle name="Calculation 2 7 5" xfId="844" xr:uid="{00000000-0005-0000-0000-00002B000000}"/>
    <cellStyle name="Calculation 2 7 6" xfId="1081" xr:uid="{00000000-0005-0000-0000-00002B000000}"/>
    <cellStyle name="Calculation 2 7 7" xfId="1318" xr:uid="{00000000-0005-0000-0000-00002B000000}"/>
    <cellStyle name="Calculation 2 7 8" xfId="1554" xr:uid="{00000000-0005-0000-0000-00002B000000}"/>
    <cellStyle name="Calculation 2 7 9" xfId="1790" xr:uid="{00000000-0005-0000-0000-00002B000000}"/>
    <cellStyle name="Calculation 2 8" xfId="107" xr:uid="{00000000-0005-0000-0000-00002D000000}"/>
    <cellStyle name="Calculation 2 8 10" xfId="2068" xr:uid="{00000000-0005-0000-0000-00002D000000}"/>
    <cellStyle name="Calculation 2 8 11" xfId="2450" xr:uid="{00000000-0005-0000-0000-00002D000000}"/>
    <cellStyle name="Calculation 2 8 12" xfId="2688" xr:uid="{00000000-0005-0000-0000-00002D000000}"/>
    <cellStyle name="Calculation 2 8 13" xfId="2885" xr:uid="{00000000-0005-0000-0000-00002D000000}"/>
    <cellStyle name="Calculation 2 8 14" xfId="3027" xr:uid="{00000000-0005-0000-0000-00002D000000}"/>
    <cellStyle name="Calculation 2 8 15" xfId="3362" xr:uid="{00000000-0005-0000-0000-00002D000000}"/>
    <cellStyle name="Calculation 2 8 16" xfId="3495" xr:uid="{00000000-0005-0000-0000-00002D000000}"/>
    <cellStyle name="Calculation 2 8 17" xfId="3887" xr:uid="{00000000-0005-0000-0000-00002D000000}"/>
    <cellStyle name="Calculation 2 8 18" xfId="3240" xr:uid="{00000000-0005-0000-0000-00002D000000}"/>
    <cellStyle name="Calculation 2 8 19" xfId="4219" xr:uid="{00000000-0005-0000-0000-00002D000000}"/>
    <cellStyle name="Calculation 2 8 2" xfId="228" xr:uid="{00000000-0005-0000-0000-00002E000000}"/>
    <cellStyle name="Calculation 2 8 2 10" xfId="1998" xr:uid="{00000000-0005-0000-0000-00002E000000}"/>
    <cellStyle name="Calculation 2 8 2 11" xfId="2363" xr:uid="{00000000-0005-0000-0000-00002E000000}"/>
    <cellStyle name="Calculation 2 8 2 12" xfId="2825" xr:uid="{00000000-0005-0000-0000-00002E000000}"/>
    <cellStyle name="Calculation 2 8 2 13" xfId="3148" xr:uid="{00000000-0005-0000-0000-00002E000000}"/>
    <cellStyle name="Calculation 2 8 2 14" xfId="3301" xr:uid="{00000000-0005-0000-0000-00002E000000}"/>
    <cellStyle name="Calculation 2 8 2 15" xfId="3616" xr:uid="{00000000-0005-0000-0000-00002E000000}"/>
    <cellStyle name="Calculation 2 8 2 16" xfId="3431" xr:uid="{00000000-0005-0000-0000-00002E000000}"/>
    <cellStyle name="Calculation 2 8 2 17" xfId="3299" xr:uid="{00000000-0005-0000-0000-00002E000000}"/>
    <cellStyle name="Calculation 2 8 2 18" xfId="4340" xr:uid="{00000000-0005-0000-0000-00002E000000}"/>
    <cellStyle name="Calculation 2 8 2 19" xfId="4541" xr:uid="{00000000-0005-0000-0000-00002E000000}"/>
    <cellStyle name="Calculation 2 8 2 2" xfId="508" xr:uid="{00000000-0005-0000-0000-00002E000000}"/>
    <cellStyle name="Calculation 2 8 2 20" xfId="4789" xr:uid="{00000000-0005-0000-0000-00002E000000}"/>
    <cellStyle name="Calculation 2 8 2 3" xfId="564" xr:uid="{00000000-0005-0000-0000-00002E000000}"/>
    <cellStyle name="Calculation 2 8 2 4" xfId="898" xr:uid="{00000000-0005-0000-0000-00002E000000}"/>
    <cellStyle name="Calculation 2 8 2 5" xfId="1200" xr:uid="{00000000-0005-0000-0000-00002E000000}"/>
    <cellStyle name="Calculation 2 8 2 6" xfId="1437" xr:uid="{00000000-0005-0000-0000-00002E000000}"/>
    <cellStyle name="Calculation 2 8 2 7" xfId="1673" xr:uid="{00000000-0005-0000-0000-00002E000000}"/>
    <cellStyle name="Calculation 2 8 2 8" xfId="1909" xr:uid="{00000000-0005-0000-0000-00002E000000}"/>
    <cellStyle name="Calculation 2 8 2 9" xfId="2189" xr:uid="{00000000-0005-0000-0000-00002E000000}"/>
    <cellStyle name="Calculation 2 8 20" xfId="4466" xr:uid="{00000000-0005-0000-0000-00002D000000}"/>
    <cellStyle name="Calculation 2 8 21" xfId="4669" xr:uid="{00000000-0005-0000-0000-00002D000000}"/>
    <cellStyle name="Calculation 2 8 3" xfId="387" xr:uid="{00000000-0005-0000-0000-00002D000000}"/>
    <cellStyle name="Calculation 2 8 4" xfId="603" xr:uid="{00000000-0005-0000-0000-00002D000000}"/>
    <cellStyle name="Calculation 2 8 5" xfId="953" xr:uid="{00000000-0005-0000-0000-00002D000000}"/>
    <cellStyle name="Calculation 2 8 6" xfId="1080" xr:uid="{00000000-0005-0000-0000-00002D000000}"/>
    <cellStyle name="Calculation 2 8 7" xfId="1317" xr:uid="{00000000-0005-0000-0000-00002D000000}"/>
    <cellStyle name="Calculation 2 8 8" xfId="1553" xr:uid="{00000000-0005-0000-0000-00002D000000}"/>
    <cellStyle name="Calculation 2 8 9" xfId="1789" xr:uid="{00000000-0005-0000-0000-00002D000000}"/>
    <cellStyle name="Calculation 2 9" xfId="119" xr:uid="{00000000-0005-0000-0000-00002F000000}"/>
    <cellStyle name="Calculation 2 9 10" xfId="2080" xr:uid="{00000000-0005-0000-0000-00002F000000}"/>
    <cellStyle name="Calculation 2 9 11" xfId="1987" xr:uid="{00000000-0005-0000-0000-00002F000000}"/>
    <cellStyle name="Calculation 2 9 12" xfId="2382" xr:uid="{00000000-0005-0000-0000-00002F000000}"/>
    <cellStyle name="Calculation 2 9 13" xfId="2826" xr:uid="{00000000-0005-0000-0000-00002F000000}"/>
    <cellStyle name="Calculation 2 9 14" xfId="3039" xr:uid="{00000000-0005-0000-0000-00002F000000}"/>
    <cellStyle name="Calculation 2 9 15" xfId="3302" xr:uid="{00000000-0005-0000-0000-00002F000000}"/>
    <cellStyle name="Calculation 2 9 16" xfId="3507" xr:uid="{00000000-0005-0000-0000-00002F000000}"/>
    <cellStyle name="Calculation 2 9 17" xfId="3547" xr:uid="{00000000-0005-0000-0000-00002F000000}"/>
    <cellStyle name="Calculation 2 9 18" xfId="4009" xr:uid="{00000000-0005-0000-0000-00002F000000}"/>
    <cellStyle name="Calculation 2 9 19" xfId="4231" xr:uid="{00000000-0005-0000-0000-00002F000000}"/>
    <cellStyle name="Calculation 2 9 2" xfId="240" xr:uid="{00000000-0005-0000-0000-000030000000}"/>
    <cellStyle name="Calculation 2 9 2 10" xfId="2247" xr:uid="{00000000-0005-0000-0000-000030000000}"/>
    <cellStyle name="Calculation 2 9 2 11" xfId="2487" xr:uid="{00000000-0005-0000-0000-000030000000}"/>
    <cellStyle name="Calculation 2 9 2 12" xfId="2852" xr:uid="{00000000-0005-0000-0000-000030000000}"/>
    <cellStyle name="Calculation 2 9 2 13" xfId="3160" xr:uid="{00000000-0005-0000-0000-000030000000}"/>
    <cellStyle name="Calculation 2 9 2 14" xfId="3328" xr:uid="{00000000-0005-0000-0000-000030000000}"/>
    <cellStyle name="Calculation 2 9 2 15" xfId="3628" xr:uid="{00000000-0005-0000-0000-000030000000}"/>
    <cellStyle name="Calculation 2 9 2 16" xfId="3687" xr:uid="{00000000-0005-0000-0000-000030000000}"/>
    <cellStyle name="Calculation 2 9 2 17" xfId="3896" xr:uid="{00000000-0005-0000-0000-000030000000}"/>
    <cellStyle name="Calculation 2 9 2 18" xfId="4352" xr:uid="{00000000-0005-0000-0000-000030000000}"/>
    <cellStyle name="Calculation 2 9 2 19" xfId="4431" xr:uid="{00000000-0005-0000-0000-000030000000}"/>
    <cellStyle name="Calculation 2 9 2 2" xfId="520" xr:uid="{00000000-0005-0000-0000-000030000000}"/>
    <cellStyle name="Calculation 2 9 2 20" xfId="4801" xr:uid="{00000000-0005-0000-0000-000030000000}"/>
    <cellStyle name="Calculation 2 9 2 3" xfId="579" xr:uid="{00000000-0005-0000-0000-000030000000}"/>
    <cellStyle name="Calculation 2 9 2 4" xfId="922" xr:uid="{00000000-0005-0000-0000-000030000000}"/>
    <cellStyle name="Calculation 2 9 2 5" xfId="1212" xr:uid="{00000000-0005-0000-0000-000030000000}"/>
    <cellStyle name="Calculation 2 9 2 6" xfId="1449" xr:uid="{00000000-0005-0000-0000-000030000000}"/>
    <cellStyle name="Calculation 2 9 2 7" xfId="1685" xr:uid="{00000000-0005-0000-0000-000030000000}"/>
    <cellStyle name="Calculation 2 9 2 8" xfId="1921" xr:uid="{00000000-0005-0000-0000-000030000000}"/>
    <cellStyle name="Calculation 2 9 2 9" xfId="2201" xr:uid="{00000000-0005-0000-0000-000030000000}"/>
    <cellStyle name="Calculation 2 9 20" xfId="4493" xr:uid="{00000000-0005-0000-0000-00002F000000}"/>
    <cellStyle name="Calculation 2 9 21" xfId="4681" xr:uid="{00000000-0005-0000-0000-00002F000000}"/>
    <cellStyle name="Calculation 2 9 3" xfId="399" xr:uid="{00000000-0005-0000-0000-00002F000000}"/>
    <cellStyle name="Calculation 2 9 4" xfId="565" xr:uid="{00000000-0005-0000-0000-00002F000000}"/>
    <cellStyle name="Calculation 2 9 5" xfId="899" xr:uid="{00000000-0005-0000-0000-00002F000000}"/>
    <cellStyle name="Calculation 2 9 6" xfId="1092" xr:uid="{00000000-0005-0000-0000-00002F000000}"/>
    <cellStyle name="Calculation 2 9 7" xfId="1329" xr:uid="{00000000-0005-0000-0000-00002F000000}"/>
    <cellStyle name="Calculation 2 9 8" xfId="1565" xr:uid="{00000000-0005-0000-0000-00002F000000}"/>
    <cellStyle name="Calculation 2 9 9" xfId="1801" xr:uid="{00000000-0005-0000-0000-00002F000000}"/>
    <cellStyle name="Calculation 3" xfId="44" xr:uid="{00000000-0005-0000-0000-000031000000}"/>
    <cellStyle name="Calculation 3 10" xfId="142" xr:uid="{00000000-0005-0000-0000-000032000000}"/>
    <cellStyle name="Calculation 3 10 10" xfId="2103" xr:uid="{00000000-0005-0000-0000-000032000000}"/>
    <cellStyle name="Calculation 3 10 11" xfId="2343" xr:uid="{00000000-0005-0000-0000-000032000000}"/>
    <cellStyle name="Calculation 3 10 12" xfId="2582" xr:uid="{00000000-0005-0000-0000-000032000000}"/>
    <cellStyle name="Calculation 3 10 13" xfId="2905" xr:uid="{00000000-0005-0000-0000-000032000000}"/>
    <cellStyle name="Calculation 3 10 14" xfId="3062" xr:uid="{00000000-0005-0000-0000-000032000000}"/>
    <cellStyle name="Calculation 3 10 15" xfId="3381" xr:uid="{00000000-0005-0000-0000-000032000000}"/>
    <cellStyle name="Calculation 3 10 16" xfId="3530" xr:uid="{00000000-0005-0000-0000-000032000000}"/>
    <cellStyle name="Calculation 3 10 17" xfId="3780" xr:uid="{00000000-0005-0000-0000-000032000000}"/>
    <cellStyle name="Calculation 3 10 18" xfId="4017" xr:uid="{00000000-0005-0000-0000-000032000000}"/>
    <cellStyle name="Calculation 3 10 19" xfId="4254" xr:uid="{00000000-0005-0000-0000-000032000000}"/>
    <cellStyle name="Calculation 3 10 2" xfId="263" xr:uid="{00000000-0005-0000-0000-000033000000}"/>
    <cellStyle name="Calculation 3 10 2 10" xfId="2359" xr:uid="{00000000-0005-0000-0000-000033000000}"/>
    <cellStyle name="Calculation 3 10 2 11" xfId="2598" xr:uid="{00000000-0005-0000-0000-000033000000}"/>
    <cellStyle name="Calculation 3 10 2 12" xfId="2421" xr:uid="{00000000-0005-0000-0000-000033000000}"/>
    <cellStyle name="Calculation 3 10 2 13" xfId="3183" xr:uid="{00000000-0005-0000-0000-000033000000}"/>
    <cellStyle name="Calculation 3 10 2 14" xfId="2755" xr:uid="{00000000-0005-0000-0000-000033000000}"/>
    <cellStyle name="Calculation 3 10 2 15" xfId="3651" xr:uid="{00000000-0005-0000-0000-000033000000}"/>
    <cellStyle name="Calculation 3 10 2 16" xfId="3796" xr:uid="{00000000-0005-0000-0000-000033000000}"/>
    <cellStyle name="Calculation 3 10 2 17" xfId="3966" xr:uid="{00000000-0005-0000-0000-000033000000}"/>
    <cellStyle name="Calculation 3 10 2 18" xfId="4375" xr:uid="{00000000-0005-0000-0000-000033000000}"/>
    <cellStyle name="Calculation 3 10 2 19" xfId="3988" xr:uid="{00000000-0005-0000-0000-000033000000}"/>
    <cellStyle name="Calculation 3 10 2 2" xfId="543" xr:uid="{00000000-0005-0000-0000-000033000000}"/>
    <cellStyle name="Calculation 3 10 2 20" xfId="4824" xr:uid="{00000000-0005-0000-0000-000033000000}"/>
    <cellStyle name="Calculation 3 10 2 3" xfId="311" xr:uid="{00000000-0005-0000-0000-000033000000}"/>
    <cellStyle name="Calculation 3 10 2 4" xfId="653" xr:uid="{00000000-0005-0000-0000-000033000000}"/>
    <cellStyle name="Calculation 3 10 2 5" xfId="1235" xr:uid="{00000000-0005-0000-0000-000033000000}"/>
    <cellStyle name="Calculation 3 10 2 6" xfId="1472" xr:uid="{00000000-0005-0000-0000-000033000000}"/>
    <cellStyle name="Calculation 3 10 2 7" xfId="1708" xr:uid="{00000000-0005-0000-0000-000033000000}"/>
    <cellStyle name="Calculation 3 10 2 8" xfId="1944" xr:uid="{00000000-0005-0000-0000-000033000000}"/>
    <cellStyle name="Calculation 3 10 2 9" xfId="2224" xr:uid="{00000000-0005-0000-0000-000033000000}"/>
    <cellStyle name="Calculation 3 10 20" xfId="4393" xr:uid="{00000000-0005-0000-0000-000032000000}"/>
    <cellStyle name="Calculation 3 10 21" xfId="4704" xr:uid="{00000000-0005-0000-0000-000032000000}"/>
    <cellStyle name="Calculation 3 10 3" xfId="422" xr:uid="{00000000-0005-0000-0000-000032000000}"/>
    <cellStyle name="Calculation 3 10 4" xfId="621" xr:uid="{00000000-0005-0000-0000-000032000000}"/>
    <cellStyle name="Calculation 3 10 5" xfId="971" xr:uid="{00000000-0005-0000-0000-000032000000}"/>
    <cellStyle name="Calculation 3 10 6" xfId="1115" xr:uid="{00000000-0005-0000-0000-000032000000}"/>
    <cellStyle name="Calculation 3 10 7" xfId="1352" xr:uid="{00000000-0005-0000-0000-000032000000}"/>
    <cellStyle name="Calculation 3 10 8" xfId="1588" xr:uid="{00000000-0005-0000-0000-000032000000}"/>
    <cellStyle name="Calculation 3 10 9" xfId="1824" xr:uid="{00000000-0005-0000-0000-000032000000}"/>
    <cellStyle name="Calculation 3 11" xfId="148" xr:uid="{00000000-0005-0000-0000-000034000000}"/>
    <cellStyle name="Calculation 3 11 10" xfId="2109" xr:uid="{00000000-0005-0000-0000-000034000000}"/>
    <cellStyle name="Calculation 3 11 11" xfId="2461" xr:uid="{00000000-0005-0000-0000-000034000000}"/>
    <cellStyle name="Calculation 3 11 12" xfId="2699" xr:uid="{00000000-0005-0000-0000-000034000000}"/>
    <cellStyle name="Calculation 3 11 13" xfId="2602" xr:uid="{00000000-0005-0000-0000-000034000000}"/>
    <cellStyle name="Calculation 3 11 14" xfId="3068" xr:uid="{00000000-0005-0000-0000-000034000000}"/>
    <cellStyle name="Calculation 3 11 15" xfId="3200" xr:uid="{00000000-0005-0000-0000-000034000000}"/>
    <cellStyle name="Calculation 3 11 16" xfId="3536" xr:uid="{00000000-0005-0000-0000-000034000000}"/>
    <cellStyle name="Calculation 3 11 17" xfId="3898" xr:uid="{00000000-0005-0000-0000-000034000000}"/>
    <cellStyle name="Calculation 3 11 18" xfId="4137" xr:uid="{00000000-0005-0000-0000-000034000000}"/>
    <cellStyle name="Calculation 3 11 19" xfId="4260" xr:uid="{00000000-0005-0000-0000-000034000000}"/>
    <cellStyle name="Calculation 3 11 2" xfId="269" xr:uid="{00000000-0005-0000-0000-000035000000}"/>
    <cellStyle name="Calculation 3 11 2 10" xfId="2398" xr:uid="{00000000-0005-0000-0000-000035000000}"/>
    <cellStyle name="Calculation 3 11 2 11" xfId="2636" xr:uid="{00000000-0005-0000-0000-000035000000}"/>
    <cellStyle name="Calculation 3 11 2 12" xfId="2630" xr:uid="{00000000-0005-0000-0000-000035000000}"/>
    <cellStyle name="Calculation 3 11 2 13" xfId="3189" xr:uid="{00000000-0005-0000-0000-000035000000}"/>
    <cellStyle name="Calculation 3 11 2 14" xfId="3079" xr:uid="{00000000-0005-0000-0000-000035000000}"/>
    <cellStyle name="Calculation 3 11 2 15" xfId="3657" xr:uid="{00000000-0005-0000-0000-000035000000}"/>
    <cellStyle name="Calculation 3 11 2 16" xfId="3835" xr:uid="{00000000-0005-0000-0000-000035000000}"/>
    <cellStyle name="Calculation 3 11 2 17" xfId="4065" xr:uid="{00000000-0005-0000-0000-000035000000}"/>
    <cellStyle name="Calculation 3 11 2 18" xfId="4381" xr:uid="{00000000-0005-0000-0000-000035000000}"/>
    <cellStyle name="Calculation 3 11 2 19" xfId="4494" xr:uid="{00000000-0005-0000-0000-000035000000}"/>
    <cellStyle name="Calculation 3 11 2 2" xfId="549" xr:uid="{00000000-0005-0000-0000-000035000000}"/>
    <cellStyle name="Calculation 3 11 2 20" xfId="4830" xr:uid="{00000000-0005-0000-0000-000035000000}"/>
    <cellStyle name="Calculation 3 11 2 3" xfId="319" xr:uid="{00000000-0005-0000-0000-000035000000}"/>
    <cellStyle name="Calculation 3 11 2 4" xfId="701" xr:uid="{00000000-0005-0000-0000-000035000000}"/>
    <cellStyle name="Calculation 3 11 2 5" xfId="1241" xr:uid="{00000000-0005-0000-0000-000035000000}"/>
    <cellStyle name="Calculation 3 11 2 6" xfId="1478" xr:uid="{00000000-0005-0000-0000-000035000000}"/>
    <cellStyle name="Calculation 3 11 2 7" xfId="1714" xr:uid="{00000000-0005-0000-0000-000035000000}"/>
    <cellStyle name="Calculation 3 11 2 8" xfId="1950" xr:uid="{00000000-0005-0000-0000-000035000000}"/>
    <cellStyle name="Calculation 3 11 2 9" xfId="2230" xr:uid="{00000000-0005-0000-0000-000035000000}"/>
    <cellStyle name="Calculation 3 11 20" xfId="4552" xr:uid="{00000000-0005-0000-0000-000034000000}"/>
    <cellStyle name="Calculation 3 11 21" xfId="4710" xr:uid="{00000000-0005-0000-0000-000034000000}"/>
    <cellStyle name="Calculation 3 11 3" xfId="428" xr:uid="{00000000-0005-0000-0000-000034000000}"/>
    <cellStyle name="Calculation 3 11 4" xfId="295" xr:uid="{00000000-0005-0000-0000-000034000000}"/>
    <cellStyle name="Calculation 3 11 5" xfId="582" xr:uid="{00000000-0005-0000-0000-000034000000}"/>
    <cellStyle name="Calculation 3 11 6" xfId="1121" xr:uid="{00000000-0005-0000-0000-000034000000}"/>
    <cellStyle name="Calculation 3 11 7" xfId="1358" xr:uid="{00000000-0005-0000-0000-000034000000}"/>
    <cellStyle name="Calculation 3 11 8" xfId="1594" xr:uid="{00000000-0005-0000-0000-000034000000}"/>
    <cellStyle name="Calculation 3 11 9" xfId="1830" xr:uid="{00000000-0005-0000-0000-000034000000}"/>
    <cellStyle name="Calculation 3 12" xfId="154" xr:uid="{00000000-0005-0000-0000-000036000000}"/>
    <cellStyle name="Calculation 3 12 10" xfId="2115" xr:uid="{00000000-0005-0000-0000-000036000000}"/>
    <cellStyle name="Calculation 3 12 11" xfId="2456" xr:uid="{00000000-0005-0000-0000-000036000000}"/>
    <cellStyle name="Calculation 3 12 12" xfId="2694" xr:uid="{00000000-0005-0000-0000-000036000000}"/>
    <cellStyle name="Calculation 3 12 13" xfId="2926" xr:uid="{00000000-0005-0000-0000-000036000000}"/>
    <cellStyle name="Calculation 3 12 14" xfId="3074" xr:uid="{00000000-0005-0000-0000-000036000000}"/>
    <cellStyle name="Calculation 3 12 15" xfId="3401" xr:uid="{00000000-0005-0000-0000-000036000000}"/>
    <cellStyle name="Calculation 3 12 16" xfId="3542" xr:uid="{00000000-0005-0000-0000-000036000000}"/>
    <cellStyle name="Calculation 3 12 17" xfId="3893" xr:uid="{00000000-0005-0000-0000-000036000000}"/>
    <cellStyle name="Calculation 3 12 18" xfId="4117" xr:uid="{00000000-0005-0000-0000-000036000000}"/>
    <cellStyle name="Calculation 3 12 19" xfId="4266" xr:uid="{00000000-0005-0000-0000-000036000000}"/>
    <cellStyle name="Calculation 3 12 2" xfId="275" xr:uid="{00000000-0005-0000-0000-000037000000}"/>
    <cellStyle name="Calculation 3 12 2 10" xfId="2420" xr:uid="{00000000-0005-0000-0000-000037000000}"/>
    <cellStyle name="Calculation 3 12 2 11" xfId="2658" xr:uid="{00000000-0005-0000-0000-000037000000}"/>
    <cellStyle name="Calculation 3 12 2 12" xfId="2546" xr:uid="{00000000-0005-0000-0000-000037000000}"/>
    <cellStyle name="Calculation 3 12 2 13" xfId="3195" xr:uid="{00000000-0005-0000-0000-000037000000}"/>
    <cellStyle name="Calculation 3 12 2 14" xfId="2961" xr:uid="{00000000-0005-0000-0000-000037000000}"/>
    <cellStyle name="Calculation 3 12 2 15" xfId="3663" xr:uid="{00000000-0005-0000-0000-000037000000}"/>
    <cellStyle name="Calculation 3 12 2 16" xfId="3857" xr:uid="{00000000-0005-0000-0000-000037000000}"/>
    <cellStyle name="Calculation 3 12 2 17" xfId="3948" xr:uid="{00000000-0005-0000-0000-000037000000}"/>
    <cellStyle name="Calculation 3 12 2 18" xfId="4387" xr:uid="{00000000-0005-0000-0000-000037000000}"/>
    <cellStyle name="Calculation 3 12 2 19" xfId="4583" xr:uid="{00000000-0005-0000-0000-000037000000}"/>
    <cellStyle name="Calculation 3 12 2 2" xfId="555" xr:uid="{00000000-0005-0000-0000-000037000000}"/>
    <cellStyle name="Calculation 3 12 2 20" xfId="4836" xr:uid="{00000000-0005-0000-0000-000037000000}"/>
    <cellStyle name="Calculation 3 12 2 3" xfId="282" xr:uid="{00000000-0005-0000-0000-000037000000}"/>
    <cellStyle name="Calculation 3 12 2 4" xfId="732" xr:uid="{00000000-0005-0000-0000-000037000000}"/>
    <cellStyle name="Calculation 3 12 2 5" xfId="1247" xr:uid="{00000000-0005-0000-0000-000037000000}"/>
    <cellStyle name="Calculation 3 12 2 6" xfId="1484" xr:uid="{00000000-0005-0000-0000-000037000000}"/>
    <cellStyle name="Calculation 3 12 2 7" xfId="1720" xr:uid="{00000000-0005-0000-0000-000037000000}"/>
    <cellStyle name="Calculation 3 12 2 8" xfId="1956" xr:uid="{00000000-0005-0000-0000-000037000000}"/>
    <cellStyle name="Calculation 3 12 2 9" xfId="2236" xr:uid="{00000000-0005-0000-0000-000037000000}"/>
    <cellStyle name="Calculation 3 12 20" xfId="4543" xr:uid="{00000000-0005-0000-0000-000036000000}"/>
    <cellStyle name="Calculation 3 12 21" xfId="4716" xr:uid="{00000000-0005-0000-0000-000036000000}"/>
    <cellStyle name="Calculation 3 12 3" xfId="434" xr:uid="{00000000-0005-0000-0000-000036000000}"/>
    <cellStyle name="Calculation 3 12 4" xfId="642" xr:uid="{00000000-0005-0000-0000-000036000000}"/>
    <cellStyle name="Calculation 3 12 5" xfId="991" xr:uid="{00000000-0005-0000-0000-000036000000}"/>
    <cellStyle name="Calculation 3 12 6" xfId="1127" xr:uid="{00000000-0005-0000-0000-000036000000}"/>
    <cellStyle name="Calculation 3 12 7" xfId="1364" xr:uid="{00000000-0005-0000-0000-000036000000}"/>
    <cellStyle name="Calculation 3 12 8" xfId="1600" xr:uid="{00000000-0005-0000-0000-000036000000}"/>
    <cellStyle name="Calculation 3 12 9" xfId="1836" xr:uid="{00000000-0005-0000-0000-000036000000}"/>
    <cellStyle name="Calculation 3 13" xfId="165" xr:uid="{00000000-0005-0000-0000-000038000000}"/>
    <cellStyle name="Calculation 3 13 10" xfId="2248" xr:uid="{00000000-0005-0000-0000-000038000000}"/>
    <cellStyle name="Calculation 3 13 11" xfId="2488" xr:uid="{00000000-0005-0000-0000-000038000000}"/>
    <cellStyle name="Calculation 3 13 12" xfId="2753" xr:uid="{00000000-0005-0000-0000-000038000000}"/>
    <cellStyle name="Calculation 3 13 13" xfId="3085" xr:uid="{00000000-0005-0000-0000-000038000000}"/>
    <cellStyle name="Calculation 3 13 14" xfId="3234" xr:uid="{00000000-0005-0000-0000-000038000000}"/>
    <cellStyle name="Calculation 3 13 15" xfId="3553" xr:uid="{00000000-0005-0000-0000-000038000000}"/>
    <cellStyle name="Calculation 3 13 16" xfId="3688" xr:uid="{00000000-0005-0000-0000-000038000000}"/>
    <cellStyle name="Calculation 3 13 17" xfId="4097" xr:uid="{00000000-0005-0000-0000-000038000000}"/>
    <cellStyle name="Calculation 3 13 18" xfId="4277" xr:uid="{00000000-0005-0000-0000-000038000000}"/>
    <cellStyle name="Calculation 3 13 19" xfId="4523" xr:uid="{00000000-0005-0000-0000-000038000000}"/>
    <cellStyle name="Calculation 3 13 2" xfId="445" xr:uid="{00000000-0005-0000-0000-000038000000}"/>
    <cellStyle name="Calculation 3 13 20" xfId="4726" xr:uid="{00000000-0005-0000-0000-000038000000}"/>
    <cellStyle name="Calculation 3 13 3" xfId="685" xr:uid="{00000000-0005-0000-0000-000038000000}"/>
    <cellStyle name="Calculation 3 13 4" xfId="829" xr:uid="{00000000-0005-0000-0000-000038000000}"/>
    <cellStyle name="Calculation 3 13 5" xfId="1137" xr:uid="{00000000-0005-0000-0000-000038000000}"/>
    <cellStyle name="Calculation 3 13 6" xfId="1374" xr:uid="{00000000-0005-0000-0000-000038000000}"/>
    <cellStyle name="Calculation 3 13 7" xfId="1610" xr:uid="{00000000-0005-0000-0000-000038000000}"/>
    <cellStyle name="Calculation 3 13 8" xfId="1846" xr:uid="{00000000-0005-0000-0000-000038000000}"/>
    <cellStyle name="Calculation 3 13 9" xfId="2126" xr:uid="{00000000-0005-0000-0000-000038000000}"/>
    <cellStyle name="Calculation 3 14" xfId="324" xr:uid="{00000000-0005-0000-0000-000031000000}"/>
    <cellStyle name="Calculation 3 15" xfId="659" xr:uid="{00000000-0005-0000-0000-000031000000}"/>
    <cellStyle name="Calculation 3 16" xfId="1004" xr:uid="{00000000-0005-0000-0000-000031000000}"/>
    <cellStyle name="Calculation 3 17" xfId="1017" xr:uid="{00000000-0005-0000-0000-000031000000}"/>
    <cellStyle name="Calculation 3 18" xfId="1254" xr:uid="{00000000-0005-0000-0000-000031000000}"/>
    <cellStyle name="Calculation 3 19" xfId="1490" xr:uid="{00000000-0005-0000-0000-000031000000}"/>
    <cellStyle name="Calculation 3 2" xfId="63" xr:uid="{00000000-0005-0000-0000-000039000000}"/>
    <cellStyle name="Calculation 3 2 10" xfId="2024" xr:uid="{00000000-0005-0000-0000-000039000000}"/>
    <cellStyle name="Calculation 3 2 11" xfId="2314" xr:uid="{00000000-0005-0000-0000-000039000000}"/>
    <cellStyle name="Calculation 3 2 12" xfId="2554" xr:uid="{00000000-0005-0000-0000-000039000000}"/>
    <cellStyle name="Calculation 3 2 13" xfId="2872" xr:uid="{00000000-0005-0000-0000-000039000000}"/>
    <cellStyle name="Calculation 3 2 14" xfId="2983" xr:uid="{00000000-0005-0000-0000-000039000000}"/>
    <cellStyle name="Calculation 3 2 15" xfId="3348" xr:uid="{00000000-0005-0000-0000-000039000000}"/>
    <cellStyle name="Calculation 3 2 16" xfId="3451" xr:uid="{00000000-0005-0000-0000-000039000000}"/>
    <cellStyle name="Calculation 3 2 17" xfId="3753" xr:uid="{00000000-0005-0000-0000-000039000000}"/>
    <cellStyle name="Calculation 3 2 18" xfId="3930" xr:uid="{00000000-0005-0000-0000-000039000000}"/>
    <cellStyle name="Calculation 3 2 19" xfId="4175" xr:uid="{00000000-0005-0000-0000-000039000000}"/>
    <cellStyle name="Calculation 3 2 2" xfId="184" xr:uid="{00000000-0005-0000-0000-00003A000000}"/>
    <cellStyle name="Calculation 3 2 2 10" xfId="2466" xr:uid="{00000000-0005-0000-0000-00003A000000}"/>
    <cellStyle name="Calculation 3 2 2 11" xfId="2704" xr:uid="{00000000-0005-0000-0000-00003A000000}"/>
    <cellStyle name="Calculation 3 2 2 12" xfId="2850" xr:uid="{00000000-0005-0000-0000-00003A000000}"/>
    <cellStyle name="Calculation 3 2 2 13" xfId="3104" xr:uid="{00000000-0005-0000-0000-00003A000000}"/>
    <cellStyle name="Calculation 3 2 2 14" xfId="3326" xr:uid="{00000000-0005-0000-0000-00003A000000}"/>
    <cellStyle name="Calculation 3 2 2 15" xfId="3572" xr:uid="{00000000-0005-0000-0000-00003A000000}"/>
    <cellStyle name="Calculation 3 2 2 16" xfId="3903" xr:uid="{00000000-0005-0000-0000-00003A000000}"/>
    <cellStyle name="Calculation 3 2 2 17" xfId="4042" xr:uid="{00000000-0005-0000-0000-00003A000000}"/>
    <cellStyle name="Calculation 3 2 2 18" xfId="4296" xr:uid="{00000000-0005-0000-0000-00003A000000}"/>
    <cellStyle name="Calculation 3 2 2 19" xfId="3922" xr:uid="{00000000-0005-0000-0000-00003A000000}"/>
    <cellStyle name="Calculation 3 2 2 2" xfId="464" xr:uid="{00000000-0005-0000-0000-00003A000000}"/>
    <cellStyle name="Calculation 3 2 2 20" xfId="4745" xr:uid="{00000000-0005-0000-0000-00003A000000}"/>
    <cellStyle name="Calculation 3 2 2 3" xfId="581" xr:uid="{00000000-0005-0000-0000-00003A000000}"/>
    <cellStyle name="Calculation 3 2 2 4" xfId="920" xr:uid="{00000000-0005-0000-0000-00003A000000}"/>
    <cellStyle name="Calculation 3 2 2 5" xfId="1156" xr:uid="{00000000-0005-0000-0000-00003A000000}"/>
    <cellStyle name="Calculation 3 2 2 6" xfId="1393" xr:uid="{00000000-0005-0000-0000-00003A000000}"/>
    <cellStyle name="Calculation 3 2 2 7" xfId="1629" xr:uid="{00000000-0005-0000-0000-00003A000000}"/>
    <cellStyle name="Calculation 3 2 2 8" xfId="1865" xr:uid="{00000000-0005-0000-0000-00003A000000}"/>
    <cellStyle name="Calculation 3 2 2 9" xfId="2145" xr:uid="{00000000-0005-0000-0000-00003A000000}"/>
    <cellStyle name="Calculation 3 2 20" xfId="4413" xr:uid="{00000000-0005-0000-0000-000039000000}"/>
    <cellStyle name="Calculation 3 2 21" xfId="4625" xr:uid="{00000000-0005-0000-0000-000039000000}"/>
    <cellStyle name="Calculation 3 2 3" xfId="343" xr:uid="{00000000-0005-0000-0000-000039000000}"/>
    <cellStyle name="Calculation 3 2 4" xfId="586" xr:uid="{00000000-0005-0000-0000-000039000000}"/>
    <cellStyle name="Calculation 3 2 5" xfId="941" xr:uid="{00000000-0005-0000-0000-000039000000}"/>
    <cellStyle name="Calculation 3 2 6" xfId="1036" xr:uid="{00000000-0005-0000-0000-000039000000}"/>
    <cellStyle name="Calculation 3 2 7" xfId="1273" xr:uid="{00000000-0005-0000-0000-000039000000}"/>
    <cellStyle name="Calculation 3 2 8" xfId="1509" xr:uid="{00000000-0005-0000-0000-000039000000}"/>
    <cellStyle name="Calculation 3 2 9" xfId="1745" xr:uid="{00000000-0005-0000-0000-000039000000}"/>
    <cellStyle name="Calculation 3 20" xfId="1726" xr:uid="{00000000-0005-0000-0000-000031000000}"/>
    <cellStyle name="Calculation 3 21" xfId="2005" xr:uid="{00000000-0005-0000-0000-000031000000}"/>
    <cellStyle name="Calculation 3 22" xfId="2120" xr:uid="{00000000-0005-0000-0000-000031000000}"/>
    <cellStyle name="Calculation 3 23" xfId="2425" xr:uid="{00000000-0005-0000-0000-000031000000}"/>
    <cellStyle name="Calculation 3 24" xfId="2942" xr:uid="{00000000-0005-0000-0000-000031000000}"/>
    <cellStyle name="Calculation 3 25" xfId="2964" xr:uid="{00000000-0005-0000-0000-000031000000}"/>
    <cellStyle name="Calculation 3 26" xfId="3417" xr:uid="{00000000-0005-0000-0000-000031000000}"/>
    <cellStyle name="Calculation 3 27" xfId="3432" xr:uid="{00000000-0005-0000-0000-000031000000}"/>
    <cellStyle name="Calculation 3 28" xfId="3254" xr:uid="{00000000-0005-0000-0000-000031000000}"/>
    <cellStyle name="Calculation 3 29" xfId="3989" xr:uid="{00000000-0005-0000-0000-000031000000}"/>
    <cellStyle name="Calculation 3 3" xfId="72" xr:uid="{00000000-0005-0000-0000-00003B000000}"/>
    <cellStyle name="Calculation 3 3 10" xfId="2033" xr:uid="{00000000-0005-0000-0000-00003B000000}"/>
    <cellStyle name="Calculation 3 3 11" xfId="1992" xr:uid="{00000000-0005-0000-0000-00003B000000}"/>
    <cellStyle name="Calculation 3 3 12" xfId="2416" xr:uid="{00000000-0005-0000-0000-00003B000000}"/>
    <cellStyle name="Calculation 3 3 13" xfId="2940" xr:uid="{00000000-0005-0000-0000-00003B000000}"/>
    <cellStyle name="Calculation 3 3 14" xfId="2992" xr:uid="{00000000-0005-0000-0000-00003B000000}"/>
    <cellStyle name="Calculation 3 3 15" xfId="3415" xr:uid="{00000000-0005-0000-0000-00003B000000}"/>
    <cellStyle name="Calculation 3 3 16" xfId="3460" xr:uid="{00000000-0005-0000-0000-00003B000000}"/>
    <cellStyle name="Calculation 3 3 17" xfId="3246" xr:uid="{00000000-0005-0000-0000-00003B000000}"/>
    <cellStyle name="Calculation 3 3 18" xfId="4041" xr:uid="{00000000-0005-0000-0000-00003B000000}"/>
    <cellStyle name="Calculation 3 3 19" xfId="4184" xr:uid="{00000000-0005-0000-0000-00003B000000}"/>
    <cellStyle name="Calculation 3 3 2" xfId="193" xr:uid="{00000000-0005-0000-0000-00003C000000}"/>
    <cellStyle name="Calculation 3 3 2 10" xfId="2264" xr:uid="{00000000-0005-0000-0000-00003C000000}"/>
    <cellStyle name="Calculation 3 3 2 11" xfId="2504" xr:uid="{00000000-0005-0000-0000-00003C000000}"/>
    <cellStyle name="Calculation 3 3 2 12" xfId="2898" xr:uid="{00000000-0005-0000-0000-00003C000000}"/>
    <cellStyle name="Calculation 3 3 2 13" xfId="3113" xr:uid="{00000000-0005-0000-0000-00003C000000}"/>
    <cellStyle name="Calculation 3 3 2 14" xfId="3374" xr:uid="{00000000-0005-0000-0000-00003C000000}"/>
    <cellStyle name="Calculation 3 3 2 15" xfId="3581" xr:uid="{00000000-0005-0000-0000-00003C000000}"/>
    <cellStyle name="Calculation 3 3 2 16" xfId="3703" xr:uid="{00000000-0005-0000-0000-00003C000000}"/>
    <cellStyle name="Calculation 3 3 2 17" xfId="3990" xr:uid="{00000000-0005-0000-0000-00003C000000}"/>
    <cellStyle name="Calculation 3 3 2 18" xfId="4305" xr:uid="{00000000-0005-0000-0000-00003C000000}"/>
    <cellStyle name="Calculation 3 3 2 19" xfId="4563" xr:uid="{00000000-0005-0000-0000-00003C000000}"/>
    <cellStyle name="Calculation 3 3 2 2" xfId="473" xr:uid="{00000000-0005-0000-0000-00003C000000}"/>
    <cellStyle name="Calculation 3 3 2 20" xfId="4754" xr:uid="{00000000-0005-0000-0000-00003C000000}"/>
    <cellStyle name="Calculation 3 3 2 3" xfId="633" xr:uid="{00000000-0005-0000-0000-00003C000000}"/>
    <cellStyle name="Calculation 3 3 2 4" xfId="964" xr:uid="{00000000-0005-0000-0000-00003C000000}"/>
    <cellStyle name="Calculation 3 3 2 5" xfId="1165" xr:uid="{00000000-0005-0000-0000-00003C000000}"/>
    <cellStyle name="Calculation 3 3 2 6" xfId="1402" xr:uid="{00000000-0005-0000-0000-00003C000000}"/>
    <cellStyle name="Calculation 3 3 2 7" xfId="1638" xr:uid="{00000000-0005-0000-0000-00003C000000}"/>
    <cellStyle name="Calculation 3 3 2 8" xfId="1874" xr:uid="{00000000-0005-0000-0000-00003C000000}"/>
    <cellStyle name="Calculation 3 3 2 9" xfId="2154" xr:uid="{00000000-0005-0000-0000-00003C000000}"/>
    <cellStyle name="Calculation 3 3 20" xfId="4151" xr:uid="{00000000-0005-0000-0000-00003B000000}"/>
    <cellStyle name="Calculation 3 3 21" xfId="4634" xr:uid="{00000000-0005-0000-0000-00003B000000}"/>
    <cellStyle name="Calculation 3 3 3" xfId="352" xr:uid="{00000000-0005-0000-0000-00003B000000}"/>
    <cellStyle name="Calculation 3 3 4" xfId="751" xr:uid="{00000000-0005-0000-0000-00003B000000}"/>
    <cellStyle name="Calculation 3 3 5" xfId="1003" xr:uid="{00000000-0005-0000-0000-00003B000000}"/>
    <cellStyle name="Calculation 3 3 6" xfId="1045" xr:uid="{00000000-0005-0000-0000-00003B000000}"/>
    <cellStyle name="Calculation 3 3 7" xfId="1282" xr:uid="{00000000-0005-0000-0000-00003B000000}"/>
    <cellStyle name="Calculation 3 3 8" xfId="1518" xr:uid="{00000000-0005-0000-0000-00003B000000}"/>
    <cellStyle name="Calculation 3 3 9" xfId="1754" xr:uid="{00000000-0005-0000-0000-00003B000000}"/>
    <cellStyle name="Calculation 3 30" xfId="4156" xr:uid="{00000000-0005-0000-0000-000031000000}"/>
    <cellStyle name="Calculation 3 31" xfId="4461" xr:uid="{00000000-0005-0000-0000-000031000000}"/>
    <cellStyle name="Calculation 3 32" xfId="4606" xr:uid="{00000000-0005-0000-0000-000031000000}"/>
    <cellStyle name="Calculation 3 4" xfId="82" xr:uid="{00000000-0005-0000-0000-00003D000000}"/>
    <cellStyle name="Calculation 3 4 10" xfId="2043" xr:uid="{00000000-0005-0000-0000-00003D000000}"/>
    <cellStyle name="Calculation 3 4 11" xfId="2473" xr:uid="{00000000-0005-0000-0000-00003D000000}"/>
    <cellStyle name="Calculation 3 4 12" xfId="2711" xr:uid="{00000000-0005-0000-0000-00003D000000}"/>
    <cellStyle name="Calculation 3 4 13" xfId="2749" xr:uid="{00000000-0005-0000-0000-00003D000000}"/>
    <cellStyle name="Calculation 3 4 14" xfId="3002" xr:uid="{00000000-0005-0000-0000-00003D000000}"/>
    <cellStyle name="Calculation 3 4 15" xfId="3230" xr:uid="{00000000-0005-0000-0000-00003D000000}"/>
    <cellStyle name="Calculation 3 4 16" xfId="3470" xr:uid="{00000000-0005-0000-0000-00003D000000}"/>
    <cellStyle name="Calculation 3 4 17" xfId="3910" xr:uid="{00000000-0005-0000-0000-00003D000000}"/>
    <cellStyle name="Calculation 3 4 18" xfId="3969" xr:uid="{00000000-0005-0000-0000-00003D000000}"/>
    <cellStyle name="Calculation 3 4 19" xfId="4194" xr:uid="{00000000-0005-0000-0000-00003D000000}"/>
    <cellStyle name="Calculation 3 4 2" xfId="203" xr:uid="{00000000-0005-0000-0000-00003E000000}"/>
    <cellStyle name="Calculation 3 4 2 10" xfId="2272" xr:uid="{00000000-0005-0000-0000-00003E000000}"/>
    <cellStyle name="Calculation 3 4 2 11" xfId="2512" xr:uid="{00000000-0005-0000-0000-00003E000000}"/>
    <cellStyle name="Calculation 3 4 2 12" xfId="2494" xr:uid="{00000000-0005-0000-0000-00003E000000}"/>
    <cellStyle name="Calculation 3 4 2 13" xfId="3123" xr:uid="{00000000-0005-0000-0000-00003E000000}"/>
    <cellStyle name="Calculation 3 4 2 14" xfId="2741" xr:uid="{00000000-0005-0000-0000-00003E000000}"/>
    <cellStyle name="Calculation 3 4 2 15" xfId="3591" xr:uid="{00000000-0005-0000-0000-00003E000000}"/>
    <cellStyle name="Calculation 3 4 2 16" xfId="3711" xr:uid="{00000000-0005-0000-0000-00003E000000}"/>
    <cellStyle name="Calculation 3 4 2 17" xfId="3752" xr:uid="{00000000-0005-0000-0000-00003E000000}"/>
    <cellStyle name="Calculation 3 4 2 18" xfId="4315" xr:uid="{00000000-0005-0000-0000-00003E000000}"/>
    <cellStyle name="Calculation 3 4 2 19" xfId="4456" xr:uid="{00000000-0005-0000-0000-00003E000000}"/>
    <cellStyle name="Calculation 3 4 2 2" xfId="483" xr:uid="{00000000-0005-0000-0000-00003E000000}"/>
    <cellStyle name="Calculation 3 4 2 20" xfId="4764" xr:uid="{00000000-0005-0000-0000-00003E000000}"/>
    <cellStyle name="Calculation 3 4 2 3" xfId="677" xr:uid="{00000000-0005-0000-0000-00003E000000}"/>
    <cellStyle name="Calculation 3 4 2 4" xfId="737" xr:uid="{00000000-0005-0000-0000-00003E000000}"/>
    <cellStyle name="Calculation 3 4 2 5" xfId="1175" xr:uid="{00000000-0005-0000-0000-00003E000000}"/>
    <cellStyle name="Calculation 3 4 2 6" xfId="1412" xr:uid="{00000000-0005-0000-0000-00003E000000}"/>
    <cellStyle name="Calculation 3 4 2 7" xfId="1648" xr:uid="{00000000-0005-0000-0000-00003E000000}"/>
    <cellStyle name="Calculation 3 4 2 8" xfId="1884" xr:uid="{00000000-0005-0000-0000-00003E000000}"/>
    <cellStyle name="Calculation 3 4 2 9" xfId="2164" xr:uid="{00000000-0005-0000-0000-00003E000000}"/>
    <cellStyle name="Calculation 3 4 20" xfId="4530" xr:uid="{00000000-0005-0000-0000-00003D000000}"/>
    <cellStyle name="Calculation 3 4 21" xfId="4644" xr:uid="{00000000-0005-0000-0000-00003D000000}"/>
    <cellStyle name="Calculation 3 4 3" xfId="362" xr:uid="{00000000-0005-0000-0000-00003D000000}"/>
    <cellStyle name="Calculation 3 4 4" xfId="717" xr:uid="{00000000-0005-0000-0000-00003D000000}"/>
    <cellStyle name="Calculation 3 4 5" xfId="826" xr:uid="{00000000-0005-0000-0000-00003D000000}"/>
    <cellStyle name="Calculation 3 4 6" xfId="1055" xr:uid="{00000000-0005-0000-0000-00003D000000}"/>
    <cellStyle name="Calculation 3 4 7" xfId="1292" xr:uid="{00000000-0005-0000-0000-00003D000000}"/>
    <cellStyle name="Calculation 3 4 8" xfId="1528" xr:uid="{00000000-0005-0000-0000-00003D000000}"/>
    <cellStyle name="Calculation 3 4 9" xfId="1764" xr:uid="{00000000-0005-0000-0000-00003D000000}"/>
    <cellStyle name="Calculation 3 5" xfId="88" xr:uid="{00000000-0005-0000-0000-00003F000000}"/>
    <cellStyle name="Calculation 3 5 10" xfId="2049" xr:uid="{00000000-0005-0000-0000-00003F000000}"/>
    <cellStyle name="Calculation 3 5 11" xfId="2479" xr:uid="{00000000-0005-0000-0000-00003F000000}"/>
    <cellStyle name="Calculation 3 5 12" xfId="2717" xr:uid="{00000000-0005-0000-0000-00003F000000}"/>
    <cellStyle name="Calculation 3 5 13" xfId="2747" xr:uid="{00000000-0005-0000-0000-00003F000000}"/>
    <cellStyle name="Calculation 3 5 14" xfId="3008" xr:uid="{00000000-0005-0000-0000-00003F000000}"/>
    <cellStyle name="Calculation 3 5 15" xfId="3228" xr:uid="{00000000-0005-0000-0000-00003F000000}"/>
    <cellStyle name="Calculation 3 5 16" xfId="3476" xr:uid="{00000000-0005-0000-0000-00003F000000}"/>
    <cellStyle name="Calculation 3 5 17" xfId="3916" xr:uid="{00000000-0005-0000-0000-00003F000000}"/>
    <cellStyle name="Calculation 3 5 18" xfId="4008" xr:uid="{00000000-0005-0000-0000-00003F000000}"/>
    <cellStyle name="Calculation 3 5 19" xfId="4200" xr:uid="{00000000-0005-0000-0000-00003F000000}"/>
    <cellStyle name="Calculation 3 5 2" xfId="209" xr:uid="{00000000-0005-0000-0000-000040000000}"/>
    <cellStyle name="Calculation 3 5 2 10" xfId="2372" xr:uid="{00000000-0005-0000-0000-000040000000}"/>
    <cellStyle name="Calculation 3 5 2 11" xfId="2610" xr:uid="{00000000-0005-0000-0000-000040000000}"/>
    <cellStyle name="Calculation 3 5 2 12" xfId="2812" xr:uid="{00000000-0005-0000-0000-000040000000}"/>
    <cellStyle name="Calculation 3 5 2 13" xfId="3129" xr:uid="{00000000-0005-0000-0000-000040000000}"/>
    <cellStyle name="Calculation 3 5 2 14" xfId="3289" xr:uid="{00000000-0005-0000-0000-000040000000}"/>
    <cellStyle name="Calculation 3 5 2 15" xfId="3597" xr:uid="{00000000-0005-0000-0000-000040000000}"/>
    <cellStyle name="Calculation 3 5 2 16" xfId="3809" xr:uid="{00000000-0005-0000-0000-000040000000}"/>
    <cellStyle name="Calculation 3 5 2 17" xfId="3789" xr:uid="{00000000-0005-0000-0000-000040000000}"/>
    <cellStyle name="Calculation 3 5 2 18" xfId="4321" xr:uid="{00000000-0005-0000-0000-000040000000}"/>
    <cellStyle name="Calculation 3 5 2 19" xfId="4569" xr:uid="{00000000-0005-0000-0000-000040000000}"/>
    <cellStyle name="Calculation 3 5 2 2" xfId="489" xr:uid="{00000000-0005-0000-0000-000040000000}"/>
    <cellStyle name="Calculation 3 5 2 20" xfId="4770" xr:uid="{00000000-0005-0000-0000-000040000000}"/>
    <cellStyle name="Calculation 3 5 2 3" xfId="759" xr:uid="{00000000-0005-0000-0000-000040000000}"/>
    <cellStyle name="Calculation 3 5 2 4" xfId="887" xr:uid="{00000000-0005-0000-0000-000040000000}"/>
    <cellStyle name="Calculation 3 5 2 5" xfId="1181" xr:uid="{00000000-0005-0000-0000-000040000000}"/>
    <cellStyle name="Calculation 3 5 2 6" xfId="1418" xr:uid="{00000000-0005-0000-0000-000040000000}"/>
    <cellStyle name="Calculation 3 5 2 7" xfId="1654" xr:uid="{00000000-0005-0000-0000-000040000000}"/>
    <cellStyle name="Calculation 3 5 2 8" xfId="1890" xr:uid="{00000000-0005-0000-0000-000040000000}"/>
    <cellStyle name="Calculation 3 5 2 9" xfId="2170" xr:uid="{00000000-0005-0000-0000-000040000000}"/>
    <cellStyle name="Calculation 3 5 20" xfId="4558" xr:uid="{00000000-0005-0000-0000-00003F000000}"/>
    <cellStyle name="Calculation 3 5 21" xfId="4650" xr:uid="{00000000-0005-0000-0000-00003F000000}"/>
    <cellStyle name="Calculation 3 5 3" xfId="368" xr:uid="{00000000-0005-0000-0000-00003F000000}"/>
    <cellStyle name="Calculation 3 5 4" xfId="681" xr:uid="{00000000-0005-0000-0000-00003F000000}"/>
    <cellStyle name="Calculation 3 5 5" xfId="824" xr:uid="{00000000-0005-0000-0000-00003F000000}"/>
    <cellStyle name="Calculation 3 5 6" xfId="1061" xr:uid="{00000000-0005-0000-0000-00003F000000}"/>
    <cellStyle name="Calculation 3 5 7" xfId="1298" xr:uid="{00000000-0005-0000-0000-00003F000000}"/>
    <cellStyle name="Calculation 3 5 8" xfId="1534" xr:uid="{00000000-0005-0000-0000-00003F000000}"/>
    <cellStyle name="Calculation 3 5 9" xfId="1770" xr:uid="{00000000-0005-0000-0000-00003F000000}"/>
    <cellStyle name="Calculation 3 6" xfId="94" xr:uid="{00000000-0005-0000-0000-000041000000}"/>
    <cellStyle name="Calculation 3 6 10" xfId="2055" xr:uid="{00000000-0005-0000-0000-000041000000}"/>
    <cellStyle name="Calculation 3 6 11" xfId="2399" xr:uid="{00000000-0005-0000-0000-000041000000}"/>
    <cellStyle name="Calculation 3 6 12" xfId="2637" xr:uid="{00000000-0005-0000-0000-000041000000}"/>
    <cellStyle name="Calculation 3 6 13" xfId="2913" xr:uid="{00000000-0005-0000-0000-000041000000}"/>
    <cellStyle name="Calculation 3 6 14" xfId="3014" xr:uid="{00000000-0005-0000-0000-000041000000}"/>
    <cellStyle name="Calculation 3 6 15" xfId="3389" xr:uid="{00000000-0005-0000-0000-000041000000}"/>
    <cellStyle name="Calculation 3 6 16" xfId="3482" xr:uid="{00000000-0005-0000-0000-000041000000}"/>
    <cellStyle name="Calculation 3 6 17" xfId="3836" xr:uid="{00000000-0005-0000-0000-000041000000}"/>
    <cellStyle name="Calculation 3 6 18" xfId="4127" xr:uid="{00000000-0005-0000-0000-000041000000}"/>
    <cellStyle name="Calculation 3 6 19" xfId="4206" xr:uid="{00000000-0005-0000-0000-000041000000}"/>
    <cellStyle name="Calculation 3 6 2" xfId="215" xr:uid="{00000000-0005-0000-0000-000042000000}"/>
    <cellStyle name="Calculation 3 6 2 10" xfId="2439" xr:uid="{00000000-0005-0000-0000-000042000000}"/>
    <cellStyle name="Calculation 3 6 2 11" xfId="2677" xr:uid="{00000000-0005-0000-0000-000042000000}"/>
    <cellStyle name="Calculation 3 6 2 12" xfId="2772" xr:uid="{00000000-0005-0000-0000-000042000000}"/>
    <cellStyle name="Calculation 3 6 2 13" xfId="3135" xr:uid="{00000000-0005-0000-0000-000042000000}"/>
    <cellStyle name="Calculation 3 6 2 14" xfId="3252" xr:uid="{00000000-0005-0000-0000-000042000000}"/>
    <cellStyle name="Calculation 3 6 2 15" xfId="3603" xr:uid="{00000000-0005-0000-0000-000042000000}"/>
    <cellStyle name="Calculation 3 6 2 16" xfId="3876" xr:uid="{00000000-0005-0000-0000-000042000000}"/>
    <cellStyle name="Calculation 3 6 2 17" xfId="3976" xr:uid="{00000000-0005-0000-0000-000042000000}"/>
    <cellStyle name="Calculation 3 6 2 18" xfId="4327" xr:uid="{00000000-0005-0000-0000-000042000000}"/>
    <cellStyle name="Calculation 3 6 2 19" xfId="4525" xr:uid="{00000000-0005-0000-0000-000042000000}"/>
    <cellStyle name="Calculation 3 6 2 2" xfId="495" xr:uid="{00000000-0005-0000-0000-000042000000}"/>
    <cellStyle name="Calculation 3 6 2 20" xfId="4776" xr:uid="{00000000-0005-0000-0000-000042000000}"/>
    <cellStyle name="Calculation 3 6 2 3" xfId="721" xr:uid="{00000000-0005-0000-0000-000042000000}"/>
    <cellStyle name="Calculation 3 6 2 4" xfId="848" xr:uid="{00000000-0005-0000-0000-000042000000}"/>
    <cellStyle name="Calculation 3 6 2 5" xfId="1187" xr:uid="{00000000-0005-0000-0000-000042000000}"/>
    <cellStyle name="Calculation 3 6 2 6" xfId="1424" xr:uid="{00000000-0005-0000-0000-000042000000}"/>
    <cellStyle name="Calculation 3 6 2 7" xfId="1660" xr:uid="{00000000-0005-0000-0000-000042000000}"/>
    <cellStyle name="Calculation 3 6 2 8" xfId="1896" xr:uid="{00000000-0005-0000-0000-000042000000}"/>
    <cellStyle name="Calculation 3 6 2 9" xfId="2176" xr:uid="{00000000-0005-0000-0000-000042000000}"/>
    <cellStyle name="Calculation 3 6 20" xfId="4455" xr:uid="{00000000-0005-0000-0000-000041000000}"/>
    <cellStyle name="Calculation 3 6 21" xfId="4656" xr:uid="{00000000-0005-0000-0000-000041000000}"/>
    <cellStyle name="Calculation 3 6 3" xfId="374" xr:uid="{00000000-0005-0000-0000-000041000000}"/>
    <cellStyle name="Calculation 3 6 4" xfId="623" xr:uid="{00000000-0005-0000-0000-000041000000}"/>
    <cellStyle name="Calculation 3 6 5" xfId="979" xr:uid="{00000000-0005-0000-0000-000041000000}"/>
    <cellStyle name="Calculation 3 6 6" xfId="1067" xr:uid="{00000000-0005-0000-0000-000041000000}"/>
    <cellStyle name="Calculation 3 6 7" xfId="1304" xr:uid="{00000000-0005-0000-0000-000041000000}"/>
    <cellStyle name="Calculation 3 6 8" xfId="1540" xr:uid="{00000000-0005-0000-0000-000041000000}"/>
    <cellStyle name="Calculation 3 6 9" xfId="1776" xr:uid="{00000000-0005-0000-0000-000041000000}"/>
    <cellStyle name="Calculation 3 7" xfId="120" xr:uid="{00000000-0005-0000-0000-000043000000}"/>
    <cellStyle name="Calculation 3 7 10" xfId="2081" xr:uid="{00000000-0005-0000-0000-000043000000}"/>
    <cellStyle name="Calculation 3 7 11" xfId="1985" xr:uid="{00000000-0005-0000-0000-000043000000}"/>
    <cellStyle name="Calculation 3 7 12" xfId="2243" xr:uid="{00000000-0005-0000-0000-000043000000}"/>
    <cellStyle name="Calculation 3 7 13" xfId="2938" xr:uid="{00000000-0005-0000-0000-000043000000}"/>
    <cellStyle name="Calculation 3 7 14" xfId="3040" xr:uid="{00000000-0005-0000-0000-000043000000}"/>
    <cellStyle name="Calculation 3 7 15" xfId="3413" xr:uid="{00000000-0005-0000-0000-000043000000}"/>
    <cellStyle name="Calculation 3 7 16" xfId="3508" xr:uid="{00000000-0005-0000-0000-000043000000}"/>
    <cellStyle name="Calculation 3 7 17" xfId="3336" xr:uid="{00000000-0005-0000-0000-000043000000}"/>
    <cellStyle name="Calculation 3 7 18" xfId="3894" xr:uid="{00000000-0005-0000-0000-000043000000}"/>
    <cellStyle name="Calculation 3 7 19" xfId="4232" xr:uid="{00000000-0005-0000-0000-000043000000}"/>
    <cellStyle name="Calculation 3 7 2" xfId="241" xr:uid="{00000000-0005-0000-0000-000044000000}"/>
    <cellStyle name="Calculation 3 7 2 10" xfId="2332" xr:uid="{00000000-0005-0000-0000-000044000000}"/>
    <cellStyle name="Calculation 3 7 2 11" xfId="2572" xr:uid="{00000000-0005-0000-0000-000044000000}"/>
    <cellStyle name="Calculation 3 7 2 12" xfId="2733" xr:uid="{00000000-0005-0000-0000-000044000000}"/>
    <cellStyle name="Calculation 3 7 2 13" xfId="3161" xr:uid="{00000000-0005-0000-0000-000044000000}"/>
    <cellStyle name="Calculation 3 7 2 14" xfId="3215" xr:uid="{00000000-0005-0000-0000-000044000000}"/>
    <cellStyle name="Calculation 3 7 2 15" xfId="3629" xr:uid="{00000000-0005-0000-0000-000044000000}"/>
    <cellStyle name="Calculation 3 7 2 16" xfId="3770" xr:uid="{00000000-0005-0000-0000-000044000000}"/>
    <cellStyle name="Calculation 3 7 2 17" xfId="4019" xr:uid="{00000000-0005-0000-0000-000044000000}"/>
    <cellStyle name="Calculation 3 7 2 18" xfId="4353" xr:uid="{00000000-0005-0000-0000-000044000000}"/>
    <cellStyle name="Calculation 3 7 2 19" xfId="4507" xr:uid="{00000000-0005-0000-0000-000044000000}"/>
    <cellStyle name="Calculation 3 7 2 2" xfId="521" xr:uid="{00000000-0005-0000-0000-000044000000}"/>
    <cellStyle name="Calculation 3 7 2 20" xfId="4802" xr:uid="{00000000-0005-0000-0000-000044000000}"/>
    <cellStyle name="Calculation 3 7 2 3" xfId="690" xr:uid="{00000000-0005-0000-0000-000044000000}"/>
    <cellStyle name="Calculation 3 7 2 4" xfId="812" xr:uid="{00000000-0005-0000-0000-000044000000}"/>
    <cellStyle name="Calculation 3 7 2 5" xfId="1213" xr:uid="{00000000-0005-0000-0000-000044000000}"/>
    <cellStyle name="Calculation 3 7 2 6" xfId="1450" xr:uid="{00000000-0005-0000-0000-000044000000}"/>
    <cellStyle name="Calculation 3 7 2 7" xfId="1686" xr:uid="{00000000-0005-0000-0000-000044000000}"/>
    <cellStyle name="Calculation 3 7 2 8" xfId="1922" xr:uid="{00000000-0005-0000-0000-000044000000}"/>
    <cellStyle name="Calculation 3 7 2 9" xfId="2202" xr:uid="{00000000-0005-0000-0000-000044000000}"/>
    <cellStyle name="Calculation 3 7 20" xfId="4020" xr:uid="{00000000-0005-0000-0000-000043000000}"/>
    <cellStyle name="Calculation 3 7 21" xfId="4682" xr:uid="{00000000-0005-0000-0000-000043000000}"/>
    <cellStyle name="Calculation 3 7 3" xfId="400" xr:uid="{00000000-0005-0000-0000-000043000000}"/>
    <cellStyle name="Calculation 3 7 4" xfId="753" xr:uid="{00000000-0005-0000-0000-000043000000}"/>
    <cellStyle name="Calculation 3 7 5" xfId="1001" xr:uid="{00000000-0005-0000-0000-000043000000}"/>
    <cellStyle name="Calculation 3 7 6" xfId="1093" xr:uid="{00000000-0005-0000-0000-000043000000}"/>
    <cellStyle name="Calculation 3 7 7" xfId="1330" xr:uid="{00000000-0005-0000-0000-000043000000}"/>
    <cellStyle name="Calculation 3 7 8" xfId="1566" xr:uid="{00000000-0005-0000-0000-000043000000}"/>
    <cellStyle name="Calculation 3 7 9" xfId="1802" xr:uid="{00000000-0005-0000-0000-000043000000}"/>
    <cellStyle name="Calculation 3 8" xfId="128" xr:uid="{00000000-0005-0000-0000-000045000000}"/>
    <cellStyle name="Calculation 3 8 10" xfId="2089" xr:uid="{00000000-0005-0000-0000-000045000000}"/>
    <cellStyle name="Calculation 3 8 11" xfId="2284" xr:uid="{00000000-0005-0000-0000-000045000000}"/>
    <cellStyle name="Calculation 3 8 12" xfId="2524" xr:uid="{00000000-0005-0000-0000-000045000000}"/>
    <cellStyle name="Calculation 3 8 13" xfId="2788" xr:uid="{00000000-0005-0000-0000-000045000000}"/>
    <cellStyle name="Calculation 3 8 14" xfId="3048" xr:uid="{00000000-0005-0000-0000-000045000000}"/>
    <cellStyle name="Calculation 3 8 15" xfId="3267" xr:uid="{00000000-0005-0000-0000-000045000000}"/>
    <cellStyle name="Calculation 3 8 16" xfId="3516" xr:uid="{00000000-0005-0000-0000-000045000000}"/>
    <cellStyle name="Calculation 3 8 17" xfId="3723" xr:uid="{00000000-0005-0000-0000-000045000000}"/>
    <cellStyle name="Calculation 3 8 18" xfId="4050" xr:uid="{00000000-0005-0000-0000-000045000000}"/>
    <cellStyle name="Calculation 3 8 19" xfId="4240" xr:uid="{00000000-0005-0000-0000-000045000000}"/>
    <cellStyle name="Calculation 3 8 2" xfId="249" xr:uid="{00000000-0005-0000-0000-000046000000}"/>
    <cellStyle name="Calculation 3 8 2 10" xfId="1983" xr:uid="{00000000-0005-0000-0000-000046000000}"/>
    <cellStyle name="Calculation 3 8 2 11" xfId="2004" xr:uid="{00000000-0005-0000-0000-000046000000}"/>
    <cellStyle name="Calculation 3 8 2 12" xfId="2936" xr:uid="{00000000-0005-0000-0000-000046000000}"/>
    <cellStyle name="Calculation 3 8 2 13" xfId="3169" xr:uid="{00000000-0005-0000-0000-000046000000}"/>
    <cellStyle name="Calculation 3 8 2 14" xfId="3411" xr:uid="{00000000-0005-0000-0000-000046000000}"/>
    <cellStyle name="Calculation 3 8 2 15" xfId="3637" xr:uid="{00000000-0005-0000-0000-000046000000}"/>
    <cellStyle name="Calculation 3 8 2 16" xfId="3317" xr:uid="{00000000-0005-0000-0000-000046000000}"/>
    <cellStyle name="Calculation 3 8 2 17" xfId="3725" xr:uid="{00000000-0005-0000-0000-000046000000}"/>
    <cellStyle name="Calculation 3 8 2 18" xfId="4361" xr:uid="{00000000-0005-0000-0000-000046000000}"/>
    <cellStyle name="Calculation 3 8 2 19" xfId="4152" xr:uid="{00000000-0005-0000-0000-000046000000}"/>
    <cellStyle name="Calculation 3 8 2 2" xfId="529" xr:uid="{00000000-0005-0000-0000-000046000000}"/>
    <cellStyle name="Calculation 3 8 2 20" xfId="4810" xr:uid="{00000000-0005-0000-0000-000046000000}"/>
    <cellStyle name="Calculation 3 8 2 3" xfId="654" xr:uid="{00000000-0005-0000-0000-000046000000}"/>
    <cellStyle name="Calculation 3 8 2 4" xfId="999" xr:uid="{00000000-0005-0000-0000-000046000000}"/>
    <cellStyle name="Calculation 3 8 2 5" xfId="1221" xr:uid="{00000000-0005-0000-0000-000046000000}"/>
    <cellStyle name="Calculation 3 8 2 6" xfId="1458" xr:uid="{00000000-0005-0000-0000-000046000000}"/>
    <cellStyle name="Calculation 3 8 2 7" xfId="1694" xr:uid="{00000000-0005-0000-0000-000046000000}"/>
    <cellStyle name="Calculation 3 8 2 8" xfId="1930" xr:uid="{00000000-0005-0000-0000-000046000000}"/>
    <cellStyle name="Calculation 3 8 2 9" xfId="2210" xr:uid="{00000000-0005-0000-0000-000046000000}"/>
    <cellStyle name="Calculation 3 8 20" xfId="3943" xr:uid="{00000000-0005-0000-0000-000045000000}"/>
    <cellStyle name="Calculation 3 8 21" xfId="4690" xr:uid="{00000000-0005-0000-0000-000045000000}"/>
    <cellStyle name="Calculation 3 8 3" xfId="408" xr:uid="{00000000-0005-0000-0000-000045000000}"/>
    <cellStyle name="Calculation 3 8 4" xfId="692" xr:uid="{00000000-0005-0000-0000-000045000000}"/>
    <cellStyle name="Calculation 3 8 5" xfId="864" xr:uid="{00000000-0005-0000-0000-000045000000}"/>
    <cellStyle name="Calculation 3 8 6" xfId="1101" xr:uid="{00000000-0005-0000-0000-000045000000}"/>
    <cellStyle name="Calculation 3 8 7" xfId="1338" xr:uid="{00000000-0005-0000-0000-000045000000}"/>
    <cellStyle name="Calculation 3 8 8" xfId="1574" xr:uid="{00000000-0005-0000-0000-000045000000}"/>
    <cellStyle name="Calculation 3 8 9" xfId="1810" xr:uid="{00000000-0005-0000-0000-000045000000}"/>
    <cellStyle name="Calculation 3 9" xfId="135" xr:uid="{00000000-0005-0000-0000-000047000000}"/>
    <cellStyle name="Calculation 3 9 10" xfId="2096" xr:uid="{00000000-0005-0000-0000-000047000000}"/>
    <cellStyle name="Calculation 3 9 11" xfId="2472" xr:uid="{00000000-0005-0000-0000-000047000000}"/>
    <cellStyle name="Calculation 3 9 12" xfId="2710" xr:uid="{00000000-0005-0000-0000-000047000000}"/>
    <cellStyle name="Calculation 3 9 13" xfId="2848" xr:uid="{00000000-0005-0000-0000-000047000000}"/>
    <cellStyle name="Calculation 3 9 14" xfId="3055" xr:uid="{00000000-0005-0000-0000-000047000000}"/>
    <cellStyle name="Calculation 3 9 15" xfId="3324" xr:uid="{00000000-0005-0000-0000-000047000000}"/>
    <cellStyle name="Calculation 3 9 16" xfId="3523" xr:uid="{00000000-0005-0000-0000-000047000000}"/>
    <cellStyle name="Calculation 3 9 17" xfId="3909" xr:uid="{00000000-0005-0000-0000-000047000000}"/>
    <cellStyle name="Calculation 3 9 18" xfId="4078" xr:uid="{00000000-0005-0000-0000-000047000000}"/>
    <cellStyle name="Calculation 3 9 19" xfId="4247" xr:uid="{00000000-0005-0000-0000-000047000000}"/>
    <cellStyle name="Calculation 3 9 2" xfId="256" xr:uid="{00000000-0005-0000-0000-000048000000}"/>
    <cellStyle name="Calculation 3 9 2 10" xfId="2415" xr:uid="{00000000-0005-0000-0000-000048000000}"/>
    <cellStyle name="Calculation 3 9 2 11" xfId="2653" xr:uid="{00000000-0005-0000-0000-000048000000}"/>
    <cellStyle name="Calculation 3 9 2 12" xfId="2484" xr:uid="{00000000-0005-0000-0000-000048000000}"/>
    <cellStyle name="Calculation 3 9 2 13" xfId="3176" xr:uid="{00000000-0005-0000-0000-000048000000}"/>
    <cellStyle name="Calculation 3 9 2 14" xfId="2889" xr:uid="{00000000-0005-0000-0000-000048000000}"/>
    <cellStyle name="Calculation 3 9 2 15" xfId="3644" xr:uid="{00000000-0005-0000-0000-000048000000}"/>
    <cellStyle name="Calculation 3 9 2 16" xfId="3852" xr:uid="{00000000-0005-0000-0000-000048000000}"/>
    <cellStyle name="Calculation 3 9 2 17" xfId="3971" xr:uid="{00000000-0005-0000-0000-000048000000}"/>
    <cellStyle name="Calculation 3 9 2 18" xfId="4368" xr:uid="{00000000-0005-0000-0000-000048000000}"/>
    <cellStyle name="Calculation 3 9 2 19" xfId="4595" xr:uid="{00000000-0005-0000-0000-000048000000}"/>
    <cellStyle name="Calculation 3 9 2 2" xfId="536" xr:uid="{00000000-0005-0000-0000-000048000000}"/>
    <cellStyle name="Calculation 3 9 2 20" xfId="4817" xr:uid="{00000000-0005-0000-0000-000048000000}"/>
    <cellStyle name="Calculation 3 9 2 3" xfId="299" xr:uid="{00000000-0005-0000-0000-000048000000}"/>
    <cellStyle name="Calculation 3 9 2 4" xfId="596" xr:uid="{00000000-0005-0000-0000-000048000000}"/>
    <cellStyle name="Calculation 3 9 2 5" xfId="1228" xr:uid="{00000000-0005-0000-0000-000048000000}"/>
    <cellStyle name="Calculation 3 9 2 6" xfId="1465" xr:uid="{00000000-0005-0000-0000-000048000000}"/>
    <cellStyle name="Calculation 3 9 2 7" xfId="1701" xr:uid="{00000000-0005-0000-0000-000048000000}"/>
    <cellStyle name="Calculation 3 9 2 8" xfId="1937" xr:uid="{00000000-0005-0000-0000-000048000000}"/>
    <cellStyle name="Calculation 3 9 2 9" xfId="2217" xr:uid="{00000000-0005-0000-0000-000048000000}"/>
    <cellStyle name="Calculation 3 9 20" xfId="3718" xr:uid="{00000000-0005-0000-0000-000047000000}"/>
    <cellStyle name="Calculation 3 9 21" xfId="4697" xr:uid="{00000000-0005-0000-0000-000047000000}"/>
    <cellStyle name="Calculation 3 9 3" xfId="415" xr:uid="{00000000-0005-0000-0000-000047000000}"/>
    <cellStyle name="Calculation 3 9 4" xfId="576" xr:uid="{00000000-0005-0000-0000-000047000000}"/>
    <cellStyle name="Calculation 3 9 5" xfId="918" xr:uid="{00000000-0005-0000-0000-000047000000}"/>
    <cellStyle name="Calculation 3 9 6" xfId="1108" xr:uid="{00000000-0005-0000-0000-000047000000}"/>
    <cellStyle name="Calculation 3 9 7" xfId="1345" xr:uid="{00000000-0005-0000-0000-000047000000}"/>
    <cellStyle name="Calculation 3 9 8" xfId="1581" xr:uid="{00000000-0005-0000-0000-000047000000}"/>
    <cellStyle name="Calculation 3 9 9" xfId="1817" xr:uid="{00000000-0005-0000-0000-000047000000}"/>
    <cellStyle name="Check Cell 2" xfId="43" xr:uid="{00000000-0005-0000-0000-000049000000}"/>
    <cellStyle name="Comma" xfId="159" builtinId="3"/>
    <cellStyle name="Explanatory Text 2" xfId="36" xr:uid="{00000000-0005-0000-0000-00004B000000}"/>
    <cellStyle name="Good 2" xfId="34" xr:uid="{00000000-0005-0000-0000-00004C000000}"/>
    <cellStyle name="Heading 1 2" xfId="38" xr:uid="{00000000-0005-0000-0000-00004D000000}"/>
    <cellStyle name="Heading 2 2" xfId="39" xr:uid="{00000000-0005-0000-0000-00004E000000}"/>
    <cellStyle name="Heading 3 2" xfId="40" xr:uid="{00000000-0005-0000-0000-00004F000000}"/>
    <cellStyle name="Heading 4 2" xfId="41" xr:uid="{00000000-0005-0000-0000-000050000000}"/>
    <cellStyle name="Input 2" xfId="30" xr:uid="{00000000-0005-0000-0000-000051000000}"/>
    <cellStyle name="Input 2 10" xfId="99" xr:uid="{00000000-0005-0000-0000-000052000000}"/>
    <cellStyle name="Input 2 10 10" xfId="2060" xr:uid="{00000000-0005-0000-0000-000052000000}"/>
    <cellStyle name="Input 2 10 11" xfId="1978" xr:uid="{00000000-0005-0000-0000-000052000000}"/>
    <cellStyle name="Input 2 10 12" xfId="2478" xr:uid="{00000000-0005-0000-0000-000052000000}"/>
    <cellStyle name="Input 2 10 13" xfId="2932" xr:uid="{00000000-0005-0000-0000-000052000000}"/>
    <cellStyle name="Input 2 10 14" xfId="3019" xr:uid="{00000000-0005-0000-0000-000052000000}"/>
    <cellStyle name="Input 2 10 15" xfId="3406" xr:uid="{00000000-0005-0000-0000-000052000000}"/>
    <cellStyle name="Input 2 10 16" xfId="3487" xr:uid="{00000000-0005-0000-0000-000052000000}"/>
    <cellStyle name="Input 2 10 17" xfId="3360" xr:uid="{00000000-0005-0000-0000-000052000000}"/>
    <cellStyle name="Input 2 10 18" xfId="4003" xr:uid="{00000000-0005-0000-0000-000052000000}"/>
    <cellStyle name="Input 2 10 19" xfId="4211" xr:uid="{00000000-0005-0000-0000-000052000000}"/>
    <cellStyle name="Input 2 10 2" xfId="220" xr:uid="{00000000-0005-0000-0000-000053000000}"/>
    <cellStyle name="Input 2 10 2 10" xfId="2424" xr:uid="{00000000-0005-0000-0000-000053000000}"/>
    <cellStyle name="Input 2 10 2 11" xfId="2662" xr:uid="{00000000-0005-0000-0000-000053000000}"/>
    <cellStyle name="Input 2 10 2 12" xfId="2869" xr:uid="{00000000-0005-0000-0000-000053000000}"/>
    <cellStyle name="Input 2 10 2 13" xfId="3140" xr:uid="{00000000-0005-0000-0000-000053000000}"/>
    <cellStyle name="Input 2 10 2 14" xfId="3345" xr:uid="{00000000-0005-0000-0000-000053000000}"/>
    <cellStyle name="Input 2 10 2 15" xfId="3608" xr:uid="{00000000-0005-0000-0000-000053000000}"/>
    <cellStyle name="Input 2 10 2 16" xfId="3861" xr:uid="{00000000-0005-0000-0000-000053000000}"/>
    <cellStyle name="Input 2 10 2 17" xfId="4067" xr:uid="{00000000-0005-0000-0000-000053000000}"/>
    <cellStyle name="Input 2 10 2 18" xfId="4332" xr:uid="{00000000-0005-0000-0000-000053000000}"/>
    <cellStyle name="Input 2 10 2 19" xfId="4463" xr:uid="{00000000-0005-0000-0000-000053000000}"/>
    <cellStyle name="Input 2 10 2 2" xfId="500" xr:uid="{00000000-0005-0000-0000-000053000000}"/>
    <cellStyle name="Input 2 10 2 20" xfId="4781" xr:uid="{00000000-0005-0000-0000-000053000000}"/>
    <cellStyle name="Input 2 10 2 3" xfId="583" xr:uid="{00000000-0005-0000-0000-000053000000}"/>
    <cellStyle name="Input 2 10 2 4" xfId="938" xr:uid="{00000000-0005-0000-0000-000053000000}"/>
    <cellStyle name="Input 2 10 2 5" xfId="1192" xr:uid="{00000000-0005-0000-0000-000053000000}"/>
    <cellStyle name="Input 2 10 2 6" xfId="1429" xr:uid="{00000000-0005-0000-0000-000053000000}"/>
    <cellStyle name="Input 2 10 2 7" xfId="1665" xr:uid="{00000000-0005-0000-0000-000053000000}"/>
    <cellStyle name="Input 2 10 2 8" xfId="1901" xr:uid="{00000000-0005-0000-0000-000053000000}"/>
    <cellStyle name="Input 2 10 2 9" xfId="2181" xr:uid="{00000000-0005-0000-0000-000053000000}"/>
    <cellStyle name="Input 2 10 20" xfId="4559" xr:uid="{00000000-0005-0000-0000-000052000000}"/>
    <cellStyle name="Input 2 10 21" xfId="4661" xr:uid="{00000000-0005-0000-0000-000052000000}"/>
    <cellStyle name="Input 2 10 3" xfId="379" xr:uid="{00000000-0005-0000-0000-000052000000}"/>
    <cellStyle name="Input 2 10 4" xfId="649" xr:uid="{00000000-0005-0000-0000-000052000000}"/>
    <cellStyle name="Input 2 10 5" xfId="995" xr:uid="{00000000-0005-0000-0000-000052000000}"/>
    <cellStyle name="Input 2 10 6" xfId="1072" xr:uid="{00000000-0005-0000-0000-000052000000}"/>
    <cellStyle name="Input 2 10 7" xfId="1309" xr:uid="{00000000-0005-0000-0000-000052000000}"/>
    <cellStyle name="Input 2 10 8" xfId="1545" xr:uid="{00000000-0005-0000-0000-000052000000}"/>
    <cellStyle name="Input 2 10 9" xfId="1781" xr:uid="{00000000-0005-0000-0000-000052000000}"/>
    <cellStyle name="Input 2 11" xfId="113" xr:uid="{00000000-0005-0000-0000-000054000000}"/>
    <cellStyle name="Input 2 11 10" xfId="2074" xr:uid="{00000000-0005-0000-0000-000054000000}"/>
    <cellStyle name="Input 2 11 11" xfId="2253" xr:uid="{00000000-0005-0000-0000-000054000000}"/>
    <cellStyle name="Input 2 11 12" xfId="2493" xr:uid="{00000000-0005-0000-0000-000054000000}"/>
    <cellStyle name="Input 2 11 13" xfId="2862" xr:uid="{00000000-0005-0000-0000-000054000000}"/>
    <cellStyle name="Input 2 11 14" xfId="3033" xr:uid="{00000000-0005-0000-0000-000054000000}"/>
    <cellStyle name="Input 2 11 15" xfId="3338" xr:uid="{00000000-0005-0000-0000-000054000000}"/>
    <cellStyle name="Input 2 11 16" xfId="3501" xr:uid="{00000000-0005-0000-0000-000054000000}"/>
    <cellStyle name="Input 2 11 17" xfId="3692" xr:uid="{00000000-0005-0000-0000-000054000000}"/>
    <cellStyle name="Input 2 11 18" xfId="3934" xr:uid="{00000000-0005-0000-0000-000054000000}"/>
    <cellStyle name="Input 2 11 19" xfId="4225" xr:uid="{00000000-0005-0000-0000-000054000000}"/>
    <cellStyle name="Input 2 11 2" xfId="234" xr:uid="{00000000-0005-0000-0000-000055000000}"/>
    <cellStyle name="Input 2 11 2 10" xfId="2349" xr:uid="{00000000-0005-0000-0000-000055000000}"/>
    <cellStyle name="Input 2 11 2 11" xfId="2588" xr:uid="{00000000-0005-0000-0000-000055000000}"/>
    <cellStyle name="Input 2 11 2 12" xfId="2903" xr:uid="{00000000-0005-0000-0000-000055000000}"/>
    <cellStyle name="Input 2 11 2 13" xfId="3154" xr:uid="{00000000-0005-0000-0000-000055000000}"/>
    <cellStyle name="Input 2 11 2 14" xfId="3379" xr:uid="{00000000-0005-0000-0000-000055000000}"/>
    <cellStyle name="Input 2 11 2 15" xfId="3622" xr:uid="{00000000-0005-0000-0000-000055000000}"/>
    <cellStyle name="Input 2 11 2 16" xfId="3786" xr:uid="{00000000-0005-0000-0000-000055000000}"/>
    <cellStyle name="Input 2 11 2 17" xfId="4130" xr:uid="{00000000-0005-0000-0000-000055000000}"/>
    <cellStyle name="Input 2 11 2 18" xfId="4346" xr:uid="{00000000-0005-0000-0000-000055000000}"/>
    <cellStyle name="Input 2 11 2 19" xfId="4434" xr:uid="{00000000-0005-0000-0000-000055000000}"/>
    <cellStyle name="Input 2 11 2 2" xfId="514" xr:uid="{00000000-0005-0000-0000-000055000000}"/>
    <cellStyle name="Input 2 11 2 20" xfId="4795" xr:uid="{00000000-0005-0000-0000-000055000000}"/>
    <cellStyle name="Input 2 11 2 3" xfId="628" xr:uid="{00000000-0005-0000-0000-000055000000}"/>
    <cellStyle name="Input 2 11 2 4" xfId="969" xr:uid="{00000000-0005-0000-0000-000055000000}"/>
    <cellStyle name="Input 2 11 2 5" xfId="1206" xr:uid="{00000000-0005-0000-0000-000055000000}"/>
    <cellStyle name="Input 2 11 2 6" xfId="1443" xr:uid="{00000000-0005-0000-0000-000055000000}"/>
    <cellStyle name="Input 2 11 2 7" xfId="1679" xr:uid="{00000000-0005-0000-0000-000055000000}"/>
    <cellStyle name="Input 2 11 2 8" xfId="1915" xr:uid="{00000000-0005-0000-0000-000055000000}"/>
    <cellStyle name="Input 2 11 2 9" xfId="2195" xr:uid="{00000000-0005-0000-0000-000055000000}"/>
    <cellStyle name="Input 2 11 20" xfId="4402" xr:uid="{00000000-0005-0000-0000-000054000000}"/>
    <cellStyle name="Input 2 11 21" xfId="4675" xr:uid="{00000000-0005-0000-0000-000054000000}"/>
    <cellStyle name="Input 2 11 3" xfId="393" xr:uid="{00000000-0005-0000-0000-000054000000}"/>
    <cellStyle name="Input 2 11 4" xfId="793" xr:uid="{00000000-0005-0000-0000-000054000000}"/>
    <cellStyle name="Input 2 11 5" xfId="931" xr:uid="{00000000-0005-0000-0000-000054000000}"/>
    <cellStyle name="Input 2 11 6" xfId="1086" xr:uid="{00000000-0005-0000-0000-000054000000}"/>
    <cellStyle name="Input 2 11 7" xfId="1323" xr:uid="{00000000-0005-0000-0000-000054000000}"/>
    <cellStyle name="Input 2 11 8" xfId="1559" xr:uid="{00000000-0005-0000-0000-000054000000}"/>
    <cellStyle name="Input 2 11 9" xfId="1795" xr:uid="{00000000-0005-0000-0000-000054000000}"/>
    <cellStyle name="Input 2 12" xfId="102" xr:uid="{00000000-0005-0000-0000-000056000000}"/>
    <cellStyle name="Input 2 12 10" xfId="2063" xr:uid="{00000000-0005-0000-0000-000056000000}"/>
    <cellStyle name="Input 2 12 11" xfId="2401" xr:uid="{00000000-0005-0000-0000-000056000000}"/>
    <cellStyle name="Input 2 12 12" xfId="2639" xr:uid="{00000000-0005-0000-0000-000056000000}"/>
    <cellStyle name="Input 2 12 13" xfId="2807" xr:uid="{00000000-0005-0000-0000-000056000000}"/>
    <cellStyle name="Input 2 12 14" xfId="3022" xr:uid="{00000000-0005-0000-0000-000056000000}"/>
    <cellStyle name="Input 2 12 15" xfId="3285" xr:uid="{00000000-0005-0000-0000-000056000000}"/>
    <cellStyle name="Input 2 12 16" xfId="3490" xr:uid="{00000000-0005-0000-0000-000056000000}"/>
    <cellStyle name="Input 2 12 17" xfId="3838" xr:uid="{00000000-0005-0000-0000-000056000000}"/>
    <cellStyle name="Input 2 12 18" xfId="4038" xr:uid="{00000000-0005-0000-0000-000056000000}"/>
    <cellStyle name="Input 2 12 19" xfId="4214" xr:uid="{00000000-0005-0000-0000-000056000000}"/>
    <cellStyle name="Input 2 12 2" xfId="223" xr:uid="{00000000-0005-0000-0000-000057000000}"/>
    <cellStyle name="Input 2 12 2 10" xfId="2397" xr:uid="{00000000-0005-0000-0000-000057000000}"/>
    <cellStyle name="Input 2 12 2 11" xfId="2635" xr:uid="{00000000-0005-0000-0000-000057000000}"/>
    <cellStyle name="Input 2 12 2 12" xfId="2742" xr:uid="{00000000-0005-0000-0000-000057000000}"/>
    <cellStyle name="Input 2 12 2 13" xfId="3143" xr:uid="{00000000-0005-0000-0000-000057000000}"/>
    <cellStyle name="Input 2 12 2 14" xfId="3224" xr:uid="{00000000-0005-0000-0000-000057000000}"/>
    <cellStyle name="Input 2 12 2 15" xfId="3611" xr:uid="{00000000-0005-0000-0000-000057000000}"/>
    <cellStyle name="Input 2 12 2 16" xfId="3834" xr:uid="{00000000-0005-0000-0000-000057000000}"/>
    <cellStyle name="Input 2 12 2 17" xfId="4057" xr:uid="{00000000-0005-0000-0000-000057000000}"/>
    <cellStyle name="Input 2 12 2 18" xfId="4335" xr:uid="{00000000-0005-0000-0000-000057000000}"/>
    <cellStyle name="Input 2 12 2 19" xfId="4566" xr:uid="{00000000-0005-0000-0000-000057000000}"/>
    <cellStyle name="Input 2 12 2 2" xfId="503" xr:uid="{00000000-0005-0000-0000-000057000000}"/>
    <cellStyle name="Input 2 12 2 20" xfId="4784" xr:uid="{00000000-0005-0000-0000-000057000000}"/>
    <cellStyle name="Input 2 12 2 3" xfId="673" xr:uid="{00000000-0005-0000-0000-000057000000}"/>
    <cellStyle name="Input 2 12 2 4" xfId="820" xr:uid="{00000000-0005-0000-0000-000057000000}"/>
    <cellStyle name="Input 2 12 2 5" xfId="1195" xr:uid="{00000000-0005-0000-0000-000057000000}"/>
    <cellStyle name="Input 2 12 2 6" xfId="1432" xr:uid="{00000000-0005-0000-0000-000057000000}"/>
    <cellStyle name="Input 2 12 2 7" xfId="1668" xr:uid="{00000000-0005-0000-0000-000057000000}"/>
    <cellStyle name="Input 2 12 2 8" xfId="1904" xr:uid="{00000000-0005-0000-0000-000057000000}"/>
    <cellStyle name="Input 2 12 2 9" xfId="2184" xr:uid="{00000000-0005-0000-0000-000057000000}"/>
    <cellStyle name="Input 2 12 20" xfId="4599" xr:uid="{00000000-0005-0000-0000-000056000000}"/>
    <cellStyle name="Input 2 12 21" xfId="4664" xr:uid="{00000000-0005-0000-0000-000056000000}"/>
    <cellStyle name="Input 2 12 3" xfId="382" xr:uid="{00000000-0005-0000-0000-000056000000}"/>
    <cellStyle name="Input 2 12 4" xfId="734" xr:uid="{00000000-0005-0000-0000-000056000000}"/>
    <cellStyle name="Input 2 12 5" xfId="883" xr:uid="{00000000-0005-0000-0000-000056000000}"/>
    <cellStyle name="Input 2 12 6" xfId="1075" xr:uid="{00000000-0005-0000-0000-000056000000}"/>
    <cellStyle name="Input 2 12 7" xfId="1312" xr:uid="{00000000-0005-0000-0000-000056000000}"/>
    <cellStyle name="Input 2 12 8" xfId="1548" xr:uid="{00000000-0005-0000-0000-000056000000}"/>
    <cellStyle name="Input 2 12 9" xfId="1784" xr:uid="{00000000-0005-0000-0000-000056000000}"/>
    <cellStyle name="Input 2 13" xfId="162" xr:uid="{00000000-0005-0000-0000-000058000000}"/>
    <cellStyle name="Input 2 13 10" xfId="1967" xr:uid="{00000000-0005-0000-0000-000058000000}"/>
    <cellStyle name="Input 2 13 11" xfId="2315" xr:uid="{00000000-0005-0000-0000-000058000000}"/>
    <cellStyle name="Input 2 13 12" xfId="2881" xr:uid="{00000000-0005-0000-0000-000058000000}"/>
    <cellStyle name="Input 2 13 13" xfId="3082" xr:uid="{00000000-0005-0000-0000-000058000000}"/>
    <cellStyle name="Input 2 13 14" xfId="3357" xr:uid="{00000000-0005-0000-0000-000058000000}"/>
    <cellStyle name="Input 2 13 15" xfId="3550" xr:uid="{00000000-0005-0000-0000-000058000000}"/>
    <cellStyle name="Input 2 13 16" xfId="3677" xr:uid="{00000000-0005-0000-0000-000058000000}"/>
    <cellStyle name="Input 2 13 17" xfId="4063" xr:uid="{00000000-0005-0000-0000-000058000000}"/>
    <cellStyle name="Input 2 13 18" xfId="4274" xr:uid="{00000000-0005-0000-0000-000058000000}"/>
    <cellStyle name="Input 2 13 19" xfId="4491" xr:uid="{00000000-0005-0000-0000-000058000000}"/>
    <cellStyle name="Input 2 13 2" xfId="442" xr:uid="{00000000-0005-0000-0000-000058000000}"/>
    <cellStyle name="Input 2 13 20" xfId="4723" xr:uid="{00000000-0005-0000-0000-000058000000}"/>
    <cellStyle name="Input 2 13 3" xfId="594" xr:uid="{00000000-0005-0000-0000-000058000000}"/>
    <cellStyle name="Input 2 13 4" xfId="950" xr:uid="{00000000-0005-0000-0000-000058000000}"/>
    <cellStyle name="Input 2 13 5" xfId="1134" xr:uid="{00000000-0005-0000-0000-000058000000}"/>
    <cellStyle name="Input 2 13 6" xfId="1371" xr:uid="{00000000-0005-0000-0000-000058000000}"/>
    <cellStyle name="Input 2 13 7" xfId="1607" xr:uid="{00000000-0005-0000-0000-000058000000}"/>
    <cellStyle name="Input 2 13 8" xfId="1843" xr:uid="{00000000-0005-0000-0000-000058000000}"/>
    <cellStyle name="Input 2 13 9" xfId="2123" xr:uid="{00000000-0005-0000-0000-000058000000}"/>
    <cellStyle name="Input 2 14" xfId="310" xr:uid="{00000000-0005-0000-0000-000051000000}"/>
    <cellStyle name="Input 2 15" xfId="726" xr:uid="{00000000-0005-0000-0000-000051000000}"/>
    <cellStyle name="Input 2 16" xfId="872" xr:uid="{00000000-0005-0000-0000-000051000000}"/>
    <cellStyle name="Input 2 17" xfId="841" xr:uid="{00000000-0005-0000-0000-000051000000}"/>
    <cellStyle name="Input 2 18" xfId="842" xr:uid="{00000000-0005-0000-0000-000051000000}"/>
    <cellStyle name="Input 2 19" xfId="852" xr:uid="{00000000-0005-0000-0000-000051000000}"/>
    <cellStyle name="Input 2 2" xfId="57" xr:uid="{00000000-0005-0000-0000-000059000000}"/>
    <cellStyle name="Input 2 2 10" xfId="2018" xr:uid="{00000000-0005-0000-0000-000059000000}"/>
    <cellStyle name="Input 2 2 11" xfId="2404" xr:uid="{00000000-0005-0000-0000-000059000000}"/>
    <cellStyle name="Input 2 2 12" xfId="2642" xr:uid="{00000000-0005-0000-0000-000059000000}"/>
    <cellStyle name="Input 2 2 13" xfId="2893" xr:uid="{00000000-0005-0000-0000-000059000000}"/>
    <cellStyle name="Input 2 2 14" xfId="2977" xr:uid="{00000000-0005-0000-0000-000059000000}"/>
    <cellStyle name="Input 2 2 15" xfId="3369" xr:uid="{00000000-0005-0000-0000-000059000000}"/>
    <cellStyle name="Input 2 2 16" xfId="3445" xr:uid="{00000000-0005-0000-0000-000059000000}"/>
    <cellStyle name="Input 2 2 17" xfId="3841" xr:uid="{00000000-0005-0000-0000-000059000000}"/>
    <cellStyle name="Input 2 2 18" xfId="3949" xr:uid="{00000000-0005-0000-0000-000059000000}"/>
    <cellStyle name="Input 2 2 19" xfId="4169" xr:uid="{00000000-0005-0000-0000-000059000000}"/>
    <cellStyle name="Input 2 2 2" xfId="178" xr:uid="{00000000-0005-0000-0000-00005A000000}"/>
    <cellStyle name="Input 2 2 2 10" xfId="2476" xr:uid="{00000000-0005-0000-0000-00005A000000}"/>
    <cellStyle name="Input 2 2 2 11" xfId="2714" xr:uid="{00000000-0005-0000-0000-00005A000000}"/>
    <cellStyle name="Input 2 2 2 12" xfId="2900" xr:uid="{00000000-0005-0000-0000-00005A000000}"/>
    <cellStyle name="Input 2 2 2 13" xfId="3098" xr:uid="{00000000-0005-0000-0000-00005A000000}"/>
    <cellStyle name="Input 2 2 2 14" xfId="3376" xr:uid="{00000000-0005-0000-0000-00005A000000}"/>
    <cellStyle name="Input 2 2 2 15" xfId="3566" xr:uid="{00000000-0005-0000-0000-00005A000000}"/>
    <cellStyle name="Input 2 2 2 16" xfId="3913" xr:uid="{00000000-0005-0000-0000-00005A000000}"/>
    <cellStyle name="Input 2 2 2 17" xfId="4089" xr:uid="{00000000-0005-0000-0000-00005A000000}"/>
    <cellStyle name="Input 2 2 2 18" xfId="4290" xr:uid="{00000000-0005-0000-0000-00005A000000}"/>
    <cellStyle name="Input 2 2 2 19" xfId="4448" xr:uid="{00000000-0005-0000-0000-00005A000000}"/>
    <cellStyle name="Input 2 2 2 2" xfId="458" xr:uid="{00000000-0005-0000-0000-00005A000000}"/>
    <cellStyle name="Input 2 2 2 20" xfId="4739" xr:uid="{00000000-0005-0000-0000-00005A000000}"/>
    <cellStyle name="Input 2 2 2 3" xfId="631" xr:uid="{00000000-0005-0000-0000-00005A000000}"/>
    <cellStyle name="Input 2 2 2 4" xfId="966" xr:uid="{00000000-0005-0000-0000-00005A000000}"/>
    <cellStyle name="Input 2 2 2 5" xfId="1150" xr:uid="{00000000-0005-0000-0000-00005A000000}"/>
    <cellStyle name="Input 2 2 2 6" xfId="1387" xr:uid="{00000000-0005-0000-0000-00005A000000}"/>
    <cellStyle name="Input 2 2 2 7" xfId="1623" xr:uid="{00000000-0005-0000-0000-00005A000000}"/>
    <cellStyle name="Input 2 2 2 8" xfId="1859" xr:uid="{00000000-0005-0000-0000-00005A000000}"/>
    <cellStyle name="Input 2 2 2 9" xfId="2139" xr:uid="{00000000-0005-0000-0000-00005A000000}"/>
    <cellStyle name="Input 2 2 20" xfId="4567" xr:uid="{00000000-0005-0000-0000-000059000000}"/>
    <cellStyle name="Input 2 2 21" xfId="4619" xr:uid="{00000000-0005-0000-0000-000059000000}"/>
    <cellStyle name="Input 2 2 3" xfId="337" xr:uid="{00000000-0005-0000-0000-000059000000}"/>
    <cellStyle name="Input 2 2 4" xfId="611" xr:uid="{00000000-0005-0000-0000-000059000000}"/>
    <cellStyle name="Input 2 2 5" xfId="959" xr:uid="{00000000-0005-0000-0000-000059000000}"/>
    <cellStyle name="Input 2 2 6" xfId="1030" xr:uid="{00000000-0005-0000-0000-000059000000}"/>
    <cellStyle name="Input 2 2 7" xfId="1267" xr:uid="{00000000-0005-0000-0000-000059000000}"/>
    <cellStyle name="Input 2 2 8" xfId="1503" xr:uid="{00000000-0005-0000-0000-000059000000}"/>
    <cellStyle name="Input 2 2 9" xfId="1739" xr:uid="{00000000-0005-0000-0000-000059000000}"/>
    <cellStyle name="Input 2 20" xfId="912" xr:uid="{00000000-0005-0000-0000-000051000000}"/>
    <cellStyle name="Input 2 21" xfId="1991" xr:uid="{00000000-0005-0000-0000-000051000000}"/>
    <cellStyle name="Input 2 22" xfId="2471" xr:uid="{00000000-0005-0000-0000-000051000000}"/>
    <cellStyle name="Input 2 23" xfId="2709" xr:uid="{00000000-0005-0000-0000-000051000000}"/>
    <cellStyle name="Input 2 24" xfId="2796" xr:uid="{00000000-0005-0000-0000-000051000000}"/>
    <cellStyle name="Input 2 25" xfId="2802" xr:uid="{00000000-0005-0000-0000-000051000000}"/>
    <cellStyle name="Input 2 26" xfId="3275" xr:uid="{00000000-0005-0000-0000-000051000000}"/>
    <cellStyle name="Input 2 27" xfId="3245" xr:uid="{00000000-0005-0000-0000-000051000000}"/>
    <cellStyle name="Input 2 28" xfId="3908" xr:uid="{00000000-0005-0000-0000-000051000000}"/>
    <cellStyle name="Input 2 29" xfId="3964" xr:uid="{00000000-0005-0000-0000-000051000000}"/>
    <cellStyle name="Input 2 3" xfId="49" xr:uid="{00000000-0005-0000-0000-00005B000000}"/>
    <cellStyle name="Input 2 3 10" xfId="2010" xr:uid="{00000000-0005-0000-0000-00005B000000}"/>
    <cellStyle name="Input 2 3 11" xfId="2393" xr:uid="{00000000-0005-0000-0000-00005B000000}"/>
    <cellStyle name="Input 2 3 12" xfId="2631" xr:uid="{00000000-0005-0000-0000-00005B000000}"/>
    <cellStyle name="Input 2 3 13" xfId="2492" xr:uid="{00000000-0005-0000-0000-00005B000000}"/>
    <cellStyle name="Input 2 3 14" xfId="2969" xr:uid="{00000000-0005-0000-0000-00005B000000}"/>
    <cellStyle name="Input 2 3 15" xfId="2860" xr:uid="{00000000-0005-0000-0000-00005B000000}"/>
    <cellStyle name="Input 2 3 16" xfId="3437" xr:uid="{00000000-0005-0000-0000-00005B000000}"/>
    <cellStyle name="Input 2 3 17" xfId="3830" xr:uid="{00000000-0005-0000-0000-00005B000000}"/>
    <cellStyle name="Input 2 3 18" xfId="4076" xr:uid="{00000000-0005-0000-0000-00005B000000}"/>
    <cellStyle name="Input 2 3 19" xfId="4161" xr:uid="{00000000-0005-0000-0000-00005B000000}"/>
    <cellStyle name="Input 2 3 2" xfId="170" xr:uid="{00000000-0005-0000-0000-00005C000000}"/>
    <cellStyle name="Input 2 3 2 10" xfId="2444" xr:uid="{00000000-0005-0000-0000-00005C000000}"/>
    <cellStyle name="Input 2 3 2 11" xfId="2682" xr:uid="{00000000-0005-0000-0000-00005C000000}"/>
    <cellStyle name="Input 2 3 2 12" xfId="2833" xr:uid="{00000000-0005-0000-0000-00005C000000}"/>
    <cellStyle name="Input 2 3 2 13" xfId="3090" xr:uid="{00000000-0005-0000-0000-00005C000000}"/>
    <cellStyle name="Input 2 3 2 14" xfId="3309" xr:uid="{00000000-0005-0000-0000-00005C000000}"/>
    <cellStyle name="Input 2 3 2 15" xfId="3558" xr:uid="{00000000-0005-0000-0000-00005C000000}"/>
    <cellStyle name="Input 2 3 2 16" xfId="3881" xr:uid="{00000000-0005-0000-0000-00005C000000}"/>
    <cellStyle name="Input 2 3 2 17" xfId="4083" xr:uid="{00000000-0005-0000-0000-00005C000000}"/>
    <cellStyle name="Input 2 3 2 18" xfId="4282" xr:uid="{00000000-0005-0000-0000-00005C000000}"/>
    <cellStyle name="Input 2 3 2 19" xfId="4506" xr:uid="{00000000-0005-0000-0000-00005C000000}"/>
    <cellStyle name="Input 2 3 2 2" xfId="450" xr:uid="{00000000-0005-0000-0000-00005C000000}"/>
    <cellStyle name="Input 2 3 2 20" xfId="4731" xr:uid="{00000000-0005-0000-0000-00005C000000}"/>
    <cellStyle name="Input 2 3 2 3" xfId="782" xr:uid="{00000000-0005-0000-0000-00005C000000}"/>
    <cellStyle name="Input 2 3 2 4" xfId="905" xr:uid="{00000000-0005-0000-0000-00005C000000}"/>
    <cellStyle name="Input 2 3 2 5" xfId="1142" xr:uid="{00000000-0005-0000-0000-00005C000000}"/>
    <cellStyle name="Input 2 3 2 6" xfId="1379" xr:uid="{00000000-0005-0000-0000-00005C000000}"/>
    <cellStyle name="Input 2 3 2 7" xfId="1615" xr:uid="{00000000-0005-0000-0000-00005C000000}"/>
    <cellStyle name="Input 2 3 2 8" xfId="1851" xr:uid="{00000000-0005-0000-0000-00005C000000}"/>
    <cellStyle name="Input 2 3 2 9" xfId="2131" xr:uid="{00000000-0005-0000-0000-00005C000000}"/>
    <cellStyle name="Input 2 3 20" xfId="4408" xr:uid="{00000000-0005-0000-0000-00005B000000}"/>
    <cellStyle name="Input 2 3 21" xfId="4611" xr:uid="{00000000-0005-0000-0000-00005B000000}"/>
    <cellStyle name="Input 2 3 3" xfId="329" xr:uid="{00000000-0005-0000-0000-00005B000000}"/>
    <cellStyle name="Input 2 3 4" xfId="658" xr:uid="{00000000-0005-0000-0000-00005B000000}"/>
    <cellStyle name="Input 2 3 5" xfId="618" xr:uid="{00000000-0005-0000-0000-00005B000000}"/>
    <cellStyle name="Input 2 3 6" xfId="1022" xr:uid="{00000000-0005-0000-0000-00005B000000}"/>
    <cellStyle name="Input 2 3 7" xfId="1259" xr:uid="{00000000-0005-0000-0000-00005B000000}"/>
    <cellStyle name="Input 2 3 8" xfId="1495" xr:uid="{00000000-0005-0000-0000-00005B000000}"/>
    <cellStyle name="Input 2 3 9" xfId="1731" xr:uid="{00000000-0005-0000-0000-00005B000000}"/>
    <cellStyle name="Input 2 30" xfId="4142" xr:uid="{00000000-0005-0000-0000-000051000000}"/>
    <cellStyle name="Input 2 31" xfId="4592" xr:uid="{00000000-0005-0000-0000-000051000000}"/>
    <cellStyle name="Input 2 32" xfId="4528" xr:uid="{00000000-0005-0000-0000-000051000000}"/>
    <cellStyle name="Input 2 4" xfId="61" xr:uid="{00000000-0005-0000-0000-00005D000000}"/>
    <cellStyle name="Input 2 4 10" xfId="2022" xr:uid="{00000000-0005-0000-0000-00005D000000}"/>
    <cellStyle name="Input 2 4 11" xfId="2360" xr:uid="{00000000-0005-0000-0000-00005D000000}"/>
    <cellStyle name="Input 2 4 12" xfId="2599" xr:uid="{00000000-0005-0000-0000-00005D000000}"/>
    <cellStyle name="Input 2 4 13" xfId="2882" xr:uid="{00000000-0005-0000-0000-00005D000000}"/>
    <cellStyle name="Input 2 4 14" xfId="2981" xr:uid="{00000000-0005-0000-0000-00005D000000}"/>
    <cellStyle name="Input 2 4 15" xfId="3358" xr:uid="{00000000-0005-0000-0000-00005D000000}"/>
    <cellStyle name="Input 2 4 16" xfId="3449" xr:uid="{00000000-0005-0000-0000-00005D000000}"/>
    <cellStyle name="Input 2 4 17" xfId="3797" xr:uid="{00000000-0005-0000-0000-00005D000000}"/>
    <cellStyle name="Input 2 4 18" xfId="4094" xr:uid="{00000000-0005-0000-0000-00005D000000}"/>
    <cellStyle name="Input 2 4 19" xfId="4173" xr:uid="{00000000-0005-0000-0000-00005D000000}"/>
    <cellStyle name="Input 2 4 2" xfId="182" xr:uid="{00000000-0005-0000-0000-00005E000000}"/>
    <cellStyle name="Input 2 4 2 10" xfId="1963" xr:uid="{00000000-0005-0000-0000-00005E000000}"/>
    <cellStyle name="Input 2 4 2 11" xfId="2362" xr:uid="{00000000-0005-0000-0000-00005E000000}"/>
    <cellStyle name="Input 2 4 2 12" xfId="2877" xr:uid="{00000000-0005-0000-0000-00005E000000}"/>
    <cellStyle name="Input 2 4 2 13" xfId="3102" xr:uid="{00000000-0005-0000-0000-00005E000000}"/>
    <cellStyle name="Input 2 4 2 14" xfId="3353" xr:uid="{00000000-0005-0000-0000-00005E000000}"/>
    <cellStyle name="Input 2 4 2 15" xfId="3570" xr:uid="{00000000-0005-0000-0000-00005E000000}"/>
    <cellStyle name="Input 2 4 2 16" xfId="3681" xr:uid="{00000000-0005-0000-0000-00005E000000}"/>
    <cellStyle name="Input 2 4 2 17" xfId="3963" xr:uid="{00000000-0005-0000-0000-00005E000000}"/>
    <cellStyle name="Input 2 4 2 18" xfId="4294" xr:uid="{00000000-0005-0000-0000-00005E000000}"/>
    <cellStyle name="Input 2 4 2 19" xfId="4409" xr:uid="{00000000-0005-0000-0000-00005E000000}"/>
    <cellStyle name="Input 2 4 2 2" xfId="462" xr:uid="{00000000-0005-0000-0000-00005E000000}"/>
    <cellStyle name="Input 2 4 2 20" xfId="4743" xr:uid="{00000000-0005-0000-0000-00005E000000}"/>
    <cellStyle name="Input 2 4 2 3" xfId="572" xr:uid="{00000000-0005-0000-0000-00005E000000}"/>
    <cellStyle name="Input 2 4 2 4" xfId="946" xr:uid="{00000000-0005-0000-0000-00005E000000}"/>
    <cellStyle name="Input 2 4 2 5" xfId="1154" xr:uid="{00000000-0005-0000-0000-00005E000000}"/>
    <cellStyle name="Input 2 4 2 6" xfId="1391" xr:uid="{00000000-0005-0000-0000-00005E000000}"/>
    <cellStyle name="Input 2 4 2 7" xfId="1627" xr:uid="{00000000-0005-0000-0000-00005E000000}"/>
    <cellStyle name="Input 2 4 2 8" xfId="1863" xr:uid="{00000000-0005-0000-0000-00005E000000}"/>
    <cellStyle name="Input 2 4 2 9" xfId="2143" xr:uid="{00000000-0005-0000-0000-00005E000000}"/>
    <cellStyle name="Input 2 4 20" xfId="4487" xr:uid="{00000000-0005-0000-0000-00005D000000}"/>
    <cellStyle name="Input 2 4 21" xfId="4623" xr:uid="{00000000-0005-0000-0000-00005D000000}"/>
    <cellStyle name="Input 2 4 3" xfId="341" xr:uid="{00000000-0005-0000-0000-00005D000000}"/>
    <cellStyle name="Input 2 4 4" xfId="595" xr:uid="{00000000-0005-0000-0000-00005D000000}"/>
    <cellStyle name="Input 2 4 5" xfId="951" xr:uid="{00000000-0005-0000-0000-00005D000000}"/>
    <cellStyle name="Input 2 4 6" xfId="1034" xr:uid="{00000000-0005-0000-0000-00005D000000}"/>
    <cellStyle name="Input 2 4 7" xfId="1271" xr:uid="{00000000-0005-0000-0000-00005D000000}"/>
    <cellStyle name="Input 2 4 8" xfId="1507" xr:uid="{00000000-0005-0000-0000-00005D000000}"/>
    <cellStyle name="Input 2 4 9" xfId="1743" xr:uid="{00000000-0005-0000-0000-00005D000000}"/>
    <cellStyle name="Input 2 5" xfId="52" xr:uid="{00000000-0005-0000-0000-00005F000000}"/>
    <cellStyle name="Input 2 5 10" xfId="2013" xr:uid="{00000000-0005-0000-0000-00005F000000}"/>
    <cellStyle name="Input 2 5 11" xfId="2257" xr:uid="{00000000-0005-0000-0000-00005F000000}"/>
    <cellStyle name="Input 2 5 12" xfId="2497" xr:uid="{00000000-0005-0000-0000-00005F000000}"/>
    <cellStyle name="Input 2 5 13" xfId="2815" xr:uid="{00000000-0005-0000-0000-00005F000000}"/>
    <cellStyle name="Input 2 5 14" xfId="2972" xr:uid="{00000000-0005-0000-0000-00005F000000}"/>
    <cellStyle name="Input 2 5 15" xfId="3292" xr:uid="{00000000-0005-0000-0000-00005F000000}"/>
    <cellStyle name="Input 2 5 16" xfId="3440" xr:uid="{00000000-0005-0000-0000-00005F000000}"/>
    <cellStyle name="Input 2 5 17" xfId="3696" xr:uid="{00000000-0005-0000-0000-00005F000000}"/>
    <cellStyle name="Input 2 5 18" xfId="4105" xr:uid="{00000000-0005-0000-0000-00005F000000}"/>
    <cellStyle name="Input 2 5 19" xfId="4164" xr:uid="{00000000-0005-0000-0000-00005F000000}"/>
    <cellStyle name="Input 2 5 2" xfId="173" xr:uid="{00000000-0005-0000-0000-000060000000}"/>
    <cellStyle name="Input 2 5 2 10" xfId="1986" xr:uid="{00000000-0005-0000-0000-000060000000}"/>
    <cellStyle name="Input 2 5 2 11" xfId="2328" xr:uid="{00000000-0005-0000-0000-000060000000}"/>
    <cellStyle name="Input 2 5 2 12" xfId="2939" xr:uid="{00000000-0005-0000-0000-000060000000}"/>
    <cellStyle name="Input 2 5 2 13" xfId="3093" xr:uid="{00000000-0005-0000-0000-000060000000}"/>
    <cellStyle name="Input 2 5 2 14" xfId="3414" xr:uid="{00000000-0005-0000-0000-000060000000}"/>
    <cellStyle name="Input 2 5 2 15" xfId="3561" xr:uid="{00000000-0005-0000-0000-000060000000}"/>
    <cellStyle name="Input 2 5 2 16" xfId="3231" xr:uid="{00000000-0005-0000-0000-000060000000}"/>
    <cellStyle name="Input 2 5 2 17" xfId="4147" xr:uid="{00000000-0005-0000-0000-000060000000}"/>
    <cellStyle name="Input 2 5 2 18" xfId="4285" xr:uid="{00000000-0005-0000-0000-000060000000}"/>
    <cellStyle name="Input 2 5 2 19" xfId="4582" xr:uid="{00000000-0005-0000-0000-000060000000}"/>
    <cellStyle name="Input 2 5 2 2" xfId="453" xr:uid="{00000000-0005-0000-0000-000060000000}"/>
    <cellStyle name="Input 2 5 2 20" xfId="4734" xr:uid="{00000000-0005-0000-0000-000060000000}"/>
    <cellStyle name="Input 2 5 2 3" xfId="755" xr:uid="{00000000-0005-0000-0000-000060000000}"/>
    <cellStyle name="Input 2 5 2 4" xfId="1002" xr:uid="{00000000-0005-0000-0000-000060000000}"/>
    <cellStyle name="Input 2 5 2 5" xfId="1145" xr:uid="{00000000-0005-0000-0000-000060000000}"/>
    <cellStyle name="Input 2 5 2 6" xfId="1382" xr:uid="{00000000-0005-0000-0000-000060000000}"/>
    <cellStyle name="Input 2 5 2 7" xfId="1618" xr:uid="{00000000-0005-0000-0000-000060000000}"/>
    <cellStyle name="Input 2 5 2 8" xfId="1854" xr:uid="{00000000-0005-0000-0000-000060000000}"/>
    <cellStyle name="Input 2 5 2 9" xfId="2134" xr:uid="{00000000-0005-0000-0000-000060000000}"/>
    <cellStyle name="Input 2 5 20" xfId="4118" xr:uid="{00000000-0005-0000-0000-00005F000000}"/>
    <cellStyle name="Input 2 5 21" xfId="4614" xr:uid="{00000000-0005-0000-0000-00005F000000}"/>
    <cellStyle name="Input 2 5 3" xfId="332" xr:uid="{00000000-0005-0000-0000-00005F000000}"/>
    <cellStyle name="Input 2 5 4" xfId="762" xr:uid="{00000000-0005-0000-0000-00005F000000}"/>
    <cellStyle name="Input 2 5 5" xfId="890" xr:uid="{00000000-0005-0000-0000-00005F000000}"/>
    <cellStyle name="Input 2 5 6" xfId="1025" xr:uid="{00000000-0005-0000-0000-00005F000000}"/>
    <cellStyle name="Input 2 5 7" xfId="1262" xr:uid="{00000000-0005-0000-0000-00005F000000}"/>
    <cellStyle name="Input 2 5 8" xfId="1498" xr:uid="{00000000-0005-0000-0000-00005F000000}"/>
    <cellStyle name="Input 2 5 9" xfId="1734" xr:uid="{00000000-0005-0000-0000-00005F000000}"/>
    <cellStyle name="Input 2 6" xfId="80" xr:uid="{00000000-0005-0000-0000-000061000000}"/>
    <cellStyle name="Input 2 6 10" xfId="2041" xr:uid="{00000000-0005-0000-0000-000061000000}"/>
    <cellStyle name="Input 2 6 11" xfId="2367" xr:uid="{00000000-0005-0000-0000-000061000000}"/>
    <cellStyle name="Input 2 6 12" xfId="2606" xr:uid="{00000000-0005-0000-0000-000061000000}"/>
    <cellStyle name="Input 2 6 13" xfId="2793" xr:uid="{00000000-0005-0000-0000-000061000000}"/>
    <cellStyle name="Input 2 6 14" xfId="3000" xr:uid="{00000000-0005-0000-0000-000061000000}"/>
    <cellStyle name="Input 2 6 15" xfId="3272" xr:uid="{00000000-0005-0000-0000-000061000000}"/>
    <cellStyle name="Input 2 6 16" xfId="3468" xr:uid="{00000000-0005-0000-0000-000061000000}"/>
    <cellStyle name="Input 2 6 17" xfId="3804" xr:uid="{00000000-0005-0000-0000-000061000000}"/>
    <cellStyle name="Input 2 6 18" xfId="4054" xr:uid="{00000000-0005-0000-0000-000061000000}"/>
    <cellStyle name="Input 2 6 19" xfId="4192" xr:uid="{00000000-0005-0000-0000-000061000000}"/>
    <cellStyle name="Input 2 6 2" xfId="201" xr:uid="{00000000-0005-0000-0000-000062000000}"/>
    <cellStyle name="Input 2 6 2 10" xfId="2263" xr:uid="{00000000-0005-0000-0000-000062000000}"/>
    <cellStyle name="Input 2 6 2 11" xfId="2503" xr:uid="{00000000-0005-0000-0000-000062000000}"/>
    <cellStyle name="Input 2 6 2 12" xfId="2601" xr:uid="{00000000-0005-0000-0000-000062000000}"/>
    <cellStyle name="Input 2 6 2 13" xfId="3121" xr:uid="{00000000-0005-0000-0000-000062000000}"/>
    <cellStyle name="Input 2 6 2 14" xfId="3201" xr:uid="{00000000-0005-0000-0000-000062000000}"/>
    <cellStyle name="Input 2 6 2 15" xfId="3589" xr:uid="{00000000-0005-0000-0000-000062000000}"/>
    <cellStyle name="Input 2 6 2 16" xfId="3702" xr:uid="{00000000-0005-0000-0000-000062000000}"/>
    <cellStyle name="Input 2 6 2 17" xfId="4070" xr:uid="{00000000-0005-0000-0000-000062000000}"/>
    <cellStyle name="Input 2 6 2 18" xfId="4313" xr:uid="{00000000-0005-0000-0000-000062000000}"/>
    <cellStyle name="Input 2 6 2 19" xfId="4520" xr:uid="{00000000-0005-0000-0000-000062000000}"/>
    <cellStyle name="Input 2 6 2 2" xfId="481" xr:uid="{00000000-0005-0000-0000-000062000000}"/>
    <cellStyle name="Input 2 6 2 20" xfId="4762" xr:uid="{00000000-0005-0000-0000-000062000000}"/>
    <cellStyle name="Input 2 6 2 3" xfId="289" xr:uid="{00000000-0005-0000-0000-000062000000}"/>
    <cellStyle name="Input 2 6 2 4" xfId="763" xr:uid="{00000000-0005-0000-0000-000062000000}"/>
    <cellStyle name="Input 2 6 2 5" xfId="1173" xr:uid="{00000000-0005-0000-0000-000062000000}"/>
    <cellStyle name="Input 2 6 2 6" xfId="1410" xr:uid="{00000000-0005-0000-0000-000062000000}"/>
    <cellStyle name="Input 2 6 2 7" xfId="1646" xr:uid="{00000000-0005-0000-0000-000062000000}"/>
    <cellStyle name="Input 2 6 2 8" xfId="1882" xr:uid="{00000000-0005-0000-0000-000062000000}"/>
    <cellStyle name="Input 2 6 2 9" xfId="2162" xr:uid="{00000000-0005-0000-0000-000062000000}"/>
    <cellStyle name="Input 2 6 20" xfId="4536" xr:uid="{00000000-0005-0000-0000-000061000000}"/>
    <cellStyle name="Input 2 6 21" xfId="4642" xr:uid="{00000000-0005-0000-0000-000061000000}"/>
    <cellStyle name="Input 2 6 3" xfId="360" xr:uid="{00000000-0005-0000-0000-000061000000}"/>
    <cellStyle name="Input 2 6 4" xfId="708" xr:uid="{00000000-0005-0000-0000-000061000000}"/>
    <cellStyle name="Input 2 6 5" xfId="869" xr:uid="{00000000-0005-0000-0000-000061000000}"/>
    <cellStyle name="Input 2 6 6" xfId="1053" xr:uid="{00000000-0005-0000-0000-000061000000}"/>
    <cellStyle name="Input 2 6 7" xfId="1290" xr:uid="{00000000-0005-0000-0000-000061000000}"/>
    <cellStyle name="Input 2 6 8" xfId="1526" xr:uid="{00000000-0005-0000-0000-000061000000}"/>
    <cellStyle name="Input 2 6 9" xfId="1762" xr:uid="{00000000-0005-0000-0000-000061000000}"/>
    <cellStyle name="Input 2 7" xfId="111" xr:uid="{00000000-0005-0000-0000-000063000000}"/>
    <cellStyle name="Input 2 7 10" xfId="2072" xr:uid="{00000000-0005-0000-0000-000063000000}"/>
    <cellStyle name="Input 2 7 11" xfId="2303" xr:uid="{00000000-0005-0000-0000-000063000000}"/>
    <cellStyle name="Input 2 7 12" xfId="2543" xr:uid="{00000000-0005-0000-0000-000063000000}"/>
    <cellStyle name="Input 2 7 13" xfId="2870" xr:uid="{00000000-0005-0000-0000-000063000000}"/>
    <cellStyle name="Input 2 7 14" xfId="3031" xr:uid="{00000000-0005-0000-0000-000063000000}"/>
    <cellStyle name="Input 2 7 15" xfId="3346" xr:uid="{00000000-0005-0000-0000-000063000000}"/>
    <cellStyle name="Input 2 7 16" xfId="3499" xr:uid="{00000000-0005-0000-0000-000063000000}"/>
    <cellStyle name="Input 2 7 17" xfId="3742" xr:uid="{00000000-0005-0000-0000-000063000000}"/>
    <cellStyle name="Input 2 7 18" xfId="4071" xr:uid="{00000000-0005-0000-0000-000063000000}"/>
    <cellStyle name="Input 2 7 19" xfId="4223" xr:uid="{00000000-0005-0000-0000-000063000000}"/>
    <cellStyle name="Input 2 7 2" xfId="232" xr:uid="{00000000-0005-0000-0000-000064000000}"/>
    <cellStyle name="Input 2 7 2 10" xfId="2376" xr:uid="{00000000-0005-0000-0000-000064000000}"/>
    <cellStyle name="Input 2 7 2 11" xfId="2614" xr:uid="{00000000-0005-0000-0000-000064000000}"/>
    <cellStyle name="Input 2 7 2 12" xfId="2915" xr:uid="{00000000-0005-0000-0000-000064000000}"/>
    <cellStyle name="Input 2 7 2 13" xfId="3152" xr:uid="{00000000-0005-0000-0000-000064000000}"/>
    <cellStyle name="Input 2 7 2 14" xfId="3391" xr:uid="{00000000-0005-0000-0000-000064000000}"/>
    <cellStyle name="Input 2 7 2 15" xfId="3620" xr:uid="{00000000-0005-0000-0000-000064000000}"/>
    <cellStyle name="Input 2 7 2 16" xfId="3813" xr:uid="{00000000-0005-0000-0000-000064000000}"/>
    <cellStyle name="Input 2 7 2 17" xfId="4131" xr:uid="{00000000-0005-0000-0000-000064000000}"/>
    <cellStyle name="Input 2 7 2 18" xfId="4344" xr:uid="{00000000-0005-0000-0000-000064000000}"/>
    <cellStyle name="Input 2 7 2 19" xfId="4451" xr:uid="{00000000-0005-0000-0000-000064000000}"/>
    <cellStyle name="Input 2 7 2 2" xfId="512" xr:uid="{00000000-0005-0000-0000-000064000000}"/>
    <cellStyle name="Input 2 7 2 20" xfId="4793" xr:uid="{00000000-0005-0000-0000-000064000000}"/>
    <cellStyle name="Input 2 7 2 3" xfId="627" xr:uid="{00000000-0005-0000-0000-000064000000}"/>
    <cellStyle name="Input 2 7 2 4" xfId="981" xr:uid="{00000000-0005-0000-0000-000064000000}"/>
    <cellStyle name="Input 2 7 2 5" xfId="1204" xr:uid="{00000000-0005-0000-0000-000064000000}"/>
    <cellStyle name="Input 2 7 2 6" xfId="1441" xr:uid="{00000000-0005-0000-0000-000064000000}"/>
    <cellStyle name="Input 2 7 2 7" xfId="1677" xr:uid="{00000000-0005-0000-0000-000064000000}"/>
    <cellStyle name="Input 2 7 2 8" xfId="1913" xr:uid="{00000000-0005-0000-0000-000064000000}"/>
    <cellStyle name="Input 2 7 2 9" xfId="2193" xr:uid="{00000000-0005-0000-0000-000064000000}"/>
    <cellStyle name="Input 2 7 20" xfId="4539" xr:uid="{00000000-0005-0000-0000-000063000000}"/>
    <cellStyle name="Input 2 7 21" xfId="4673" xr:uid="{00000000-0005-0000-0000-000063000000}"/>
    <cellStyle name="Input 2 7 3" xfId="391" xr:uid="{00000000-0005-0000-0000-000063000000}"/>
    <cellStyle name="Input 2 7 4" xfId="584" xr:uid="{00000000-0005-0000-0000-000063000000}"/>
    <cellStyle name="Input 2 7 5" xfId="939" xr:uid="{00000000-0005-0000-0000-000063000000}"/>
    <cellStyle name="Input 2 7 6" xfId="1084" xr:uid="{00000000-0005-0000-0000-000063000000}"/>
    <cellStyle name="Input 2 7 7" xfId="1321" xr:uid="{00000000-0005-0000-0000-000063000000}"/>
    <cellStyle name="Input 2 7 8" xfId="1557" xr:uid="{00000000-0005-0000-0000-000063000000}"/>
    <cellStyle name="Input 2 7 9" xfId="1793" xr:uid="{00000000-0005-0000-0000-000063000000}"/>
    <cellStyle name="Input 2 8" xfId="104" xr:uid="{00000000-0005-0000-0000-000065000000}"/>
    <cellStyle name="Input 2 8 10" xfId="2065" xr:uid="{00000000-0005-0000-0000-000065000000}"/>
    <cellStyle name="Input 2 8 11" xfId="2344" xr:uid="{00000000-0005-0000-0000-000065000000}"/>
    <cellStyle name="Input 2 8 12" xfId="2583" xr:uid="{00000000-0005-0000-0000-000065000000}"/>
    <cellStyle name="Input 2 8 13" xfId="2799" xr:uid="{00000000-0005-0000-0000-000065000000}"/>
    <cellStyle name="Input 2 8 14" xfId="3024" xr:uid="{00000000-0005-0000-0000-000065000000}"/>
    <cellStyle name="Input 2 8 15" xfId="3278" xr:uid="{00000000-0005-0000-0000-000065000000}"/>
    <cellStyle name="Input 2 8 16" xfId="3492" xr:uid="{00000000-0005-0000-0000-000065000000}"/>
    <cellStyle name="Input 2 8 17" xfId="3781" xr:uid="{00000000-0005-0000-0000-000065000000}"/>
    <cellStyle name="Input 2 8 18" xfId="4075" xr:uid="{00000000-0005-0000-0000-000065000000}"/>
    <cellStyle name="Input 2 8 19" xfId="4216" xr:uid="{00000000-0005-0000-0000-000065000000}"/>
    <cellStyle name="Input 2 8 2" xfId="225" xr:uid="{00000000-0005-0000-0000-000066000000}"/>
    <cellStyle name="Input 2 8 2 10" xfId="1989" xr:uid="{00000000-0005-0000-0000-000066000000}"/>
    <cellStyle name="Input 2 8 2 11" xfId="2306" xr:uid="{00000000-0005-0000-0000-000066000000}"/>
    <cellStyle name="Input 2 8 2 12" xfId="2949" xr:uid="{00000000-0005-0000-0000-000066000000}"/>
    <cellStyle name="Input 2 8 2 13" xfId="3145" xr:uid="{00000000-0005-0000-0000-000066000000}"/>
    <cellStyle name="Input 2 8 2 14" xfId="3424" xr:uid="{00000000-0005-0000-0000-000066000000}"/>
    <cellStyle name="Input 2 8 2 15" xfId="3613" xr:uid="{00000000-0005-0000-0000-000066000000}"/>
    <cellStyle name="Input 2 8 2 16" xfId="3305" xr:uid="{00000000-0005-0000-0000-000066000000}"/>
    <cellStyle name="Input 2 8 2 17" xfId="3960" xr:uid="{00000000-0005-0000-0000-000066000000}"/>
    <cellStyle name="Input 2 8 2 18" xfId="4337" xr:uid="{00000000-0005-0000-0000-000066000000}"/>
    <cellStyle name="Input 2 8 2 19" xfId="4476" xr:uid="{00000000-0005-0000-0000-000066000000}"/>
    <cellStyle name="Input 2 8 2 2" xfId="505" xr:uid="{00000000-0005-0000-0000-000066000000}"/>
    <cellStyle name="Input 2 8 2 20" xfId="4786" xr:uid="{00000000-0005-0000-0000-000066000000}"/>
    <cellStyle name="Input 2 8 2 3" xfId="667" xr:uid="{00000000-0005-0000-0000-000066000000}"/>
    <cellStyle name="Input 2 8 2 4" xfId="1010" xr:uid="{00000000-0005-0000-0000-000066000000}"/>
    <cellStyle name="Input 2 8 2 5" xfId="1197" xr:uid="{00000000-0005-0000-0000-000066000000}"/>
    <cellStyle name="Input 2 8 2 6" xfId="1434" xr:uid="{00000000-0005-0000-0000-000066000000}"/>
    <cellStyle name="Input 2 8 2 7" xfId="1670" xr:uid="{00000000-0005-0000-0000-000066000000}"/>
    <cellStyle name="Input 2 8 2 8" xfId="1906" xr:uid="{00000000-0005-0000-0000-000066000000}"/>
    <cellStyle name="Input 2 8 2 9" xfId="2186" xr:uid="{00000000-0005-0000-0000-000066000000}"/>
    <cellStyle name="Input 2 8 20" xfId="4430" xr:uid="{00000000-0005-0000-0000-000065000000}"/>
    <cellStyle name="Input 2 8 21" xfId="4666" xr:uid="{00000000-0005-0000-0000-000065000000}"/>
    <cellStyle name="Input 2 8 3" xfId="384" xr:uid="{00000000-0005-0000-0000-000065000000}"/>
    <cellStyle name="Input 2 8 4" xfId="728" xr:uid="{00000000-0005-0000-0000-000065000000}"/>
    <cellStyle name="Input 2 8 5" xfId="875" xr:uid="{00000000-0005-0000-0000-000065000000}"/>
    <cellStyle name="Input 2 8 6" xfId="1077" xr:uid="{00000000-0005-0000-0000-000065000000}"/>
    <cellStyle name="Input 2 8 7" xfId="1314" xr:uid="{00000000-0005-0000-0000-000065000000}"/>
    <cellStyle name="Input 2 8 8" xfId="1550" xr:uid="{00000000-0005-0000-0000-000065000000}"/>
    <cellStyle name="Input 2 8 9" xfId="1786" xr:uid="{00000000-0005-0000-0000-000065000000}"/>
    <cellStyle name="Input 2 9" xfId="116" xr:uid="{00000000-0005-0000-0000-000067000000}"/>
    <cellStyle name="Input 2 9 10" xfId="2077" xr:uid="{00000000-0005-0000-0000-000067000000}"/>
    <cellStyle name="Input 2 9 11" xfId="1993" xr:uid="{00000000-0005-0000-0000-000067000000}"/>
    <cellStyle name="Input 2 9 12" xfId="2326" xr:uid="{00000000-0005-0000-0000-000067000000}"/>
    <cellStyle name="Input 2 9 13" xfId="2950" xr:uid="{00000000-0005-0000-0000-000067000000}"/>
    <cellStyle name="Input 2 9 14" xfId="3036" xr:uid="{00000000-0005-0000-0000-000067000000}"/>
    <cellStyle name="Input 2 9 15" xfId="3425" xr:uid="{00000000-0005-0000-0000-000067000000}"/>
    <cellStyle name="Input 2 9 16" xfId="3504" xr:uid="{00000000-0005-0000-0000-000067000000}"/>
    <cellStyle name="Input 2 9 17" xfId="3422" xr:uid="{00000000-0005-0000-0000-000067000000}"/>
    <cellStyle name="Input 2 9 18" xfId="3991" xr:uid="{00000000-0005-0000-0000-000067000000}"/>
    <cellStyle name="Input 2 9 19" xfId="4228" xr:uid="{00000000-0005-0000-0000-000067000000}"/>
    <cellStyle name="Input 2 9 2" xfId="237" xr:uid="{00000000-0005-0000-0000-000068000000}"/>
    <cellStyle name="Input 2 9 2 10" xfId="2290" xr:uid="{00000000-0005-0000-0000-000068000000}"/>
    <cellStyle name="Input 2 9 2 11" xfId="2530" xr:uid="{00000000-0005-0000-0000-000068000000}"/>
    <cellStyle name="Input 2 9 2 12" xfId="2786" xr:uid="{00000000-0005-0000-0000-000068000000}"/>
    <cellStyle name="Input 2 9 2 13" xfId="3157" xr:uid="{00000000-0005-0000-0000-000068000000}"/>
    <cellStyle name="Input 2 9 2 14" xfId="3265" xr:uid="{00000000-0005-0000-0000-000068000000}"/>
    <cellStyle name="Input 2 9 2 15" xfId="3625" xr:uid="{00000000-0005-0000-0000-000068000000}"/>
    <cellStyle name="Input 2 9 2 16" xfId="3729" xr:uid="{00000000-0005-0000-0000-000068000000}"/>
    <cellStyle name="Input 2 9 2 17" xfId="3981" xr:uid="{00000000-0005-0000-0000-000068000000}"/>
    <cellStyle name="Input 2 9 2 18" xfId="4349" xr:uid="{00000000-0005-0000-0000-000068000000}"/>
    <cellStyle name="Input 2 9 2 19" xfId="4436" xr:uid="{00000000-0005-0000-0000-000068000000}"/>
    <cellStyle name="Input 2 9 2 2" xfId="517" xr:uid="{00000000-0005-0000-0000-000068000000}"/>
    <cellStyle name="Input 2 9 2 20" xfId="4798" xr:uid="{00000000-0005-0000-0000-000068000000}"/>
    <cellStyle name="Input 2 9 2 3" xfId="693" xr:uid="{00000000-0005-0000-0000-000068000000}"/>
    <cellStyle name="Input 2 9 2 4" xfId="862" xr:uid="{00000000-0005-0000-0000-000068000000}"/>
    <cellStyle name="Input 2 9 2 5" xfId="1209" xr:uid="{00000000-0005-0000-0000-000068000000}"/>
    <cellStyle name="Input 2 9 2 6" xfId="1446" xr:uid="{00000000-0005-0000-0000-000068000000}"/>
    <cellStyle name="Input 2 9 2 7" xfId="1682" xr:uid="{00000000-0005-0000-0000-000068000000}"/>
    <cellStyle name="Input 2 9 2 8" xfId="1918" xr:uid="{00000000-0005-0000-0000-000068000000}"/>
    <cellStyle name="Input 2 9 2 9" xfId="2198" xr:uid="{00000000-0005-0000-0000-000068000000}"/>
    <cellStyle name="Input 2 9 20" xfId="4469" xr:uid="{00000000-0005-0000-0000-000067000000}"/>
    <cellStyle name="Input 2 9 21" xfId="4678" xr:uid="{00000000-0005-0000-0000-000067000000}"/>
    <cellStyle name="Input 2 9 3" xfId="396" xr:uid="{00000000-0005-0000-0000-000067000000}"/>
    <cellStyle name="Input 2 9 4" xfId="668" xr:uid="{00000000-0005-0000-0000-000067000000}"/>
    <cellStyle name="Input 2 9 5" xfId="1011" xr:uid="{00000000-0005-0000-0000-000067000000}"/>
    <cellStyle name="Input 2 9 6" xfId="1089" xr:uid="{00000000-0005-0000-0000-000067000000}"/>
    <cellStyle name="Input 2 9 7" xfId="1326" xr:uid="{00000000-0005-0000-0000-000067000000}"/>
    <cellStyle name="Input 2 9 8" xfId="1562" xr:uid="{00000000-0005-0000-0000-000067000000}"/>
    <cellStyle name="Input 2 9 9" xfId="1798" xr:uid="{00000000-0005-0000-0000-000067000000}"/>
    <cellStyle name="Input 3" xfId="46" xr:uid="{00000000-0005-0000-0000-000069000000}"/>
    <cellStyle name="Input 3 10" xfId="144" xr:uid="{00000000-0005-0000-0000-00006A000000}"/>
    <cellStyle name="Input 3 10 10" xfId="2105" xr:uid="{00000000-0005-0000-0000-00006A000000}"/>
    <cellStyle name="Input 3 10 11" xfId="2385" xr:uid="{00000000-0005-0000-0000-00006A000000}"/>
    <cellStyle name="Input 3 10 12" xfId="2623" xr:uid="{00000000-0005-0000-0000-00006A000000}"/>
    <cellStyle name="Input 3 10 13" xfId="2897" xr:uid="{00000000-0005-0000-0000-00006A000000}"/>
    <cellStyle name="Input 3 10 14" xfId="3064" xr:uid="{00000000-0005-0000-0000-00006A000000}"/>
    <cellStyle name="Input 3 10 15" xfId="3373" xr:uid="{00000000-0005-0000-0000-00006A000000}"/>
    <cellStyle name="Input 3 10 16" xfId="3532" xr:uid="{00000000-0005-0000-0000-00006A000000}"/>
    <cellStyle name="Input 3 10 17" xfId="3822" xr:uid="{00000000-0005-0000-0000-00006A000000}"/>
    <cellStyle name="Input 3 10 18" xfId="4135" xr:uid="{00000000-0005-0000-0000-00006A000000}"/>
    <cellStyle name="Input 3 10 19" xfId="4256" xr:uid="{00000000-0005-0000-0000-00006A000000}"/>
    <cellStyle name="Input 3 10 2" xfId="265" xr:uid="{00000000-0005-0000-0000-00006B000000}"/>
    <cellStyle name="Input 3 10 2 10" xfId="2370" xr:uid="{00000000-0005-0000-0000-00006B000000}"/>
    <cellStyle name="Input 3 10 2 11" xfId="2608" xr:uid="{00000000-0005-0000-0000-00006B000000}"/>
    <cellStyle name="Input 3 10 2 12" xfId="2568" xr:uid="{00000000-0005-0000-0000-00006B000000}"/>
    <cellStyle name="Input 3 10 2 13" xfId="3185" xr:uid="{00000000-0005-0000-0000-00006B000000}"/>
    <cellStyle name="Input 3 10 2 14" xfId="2765" xr:uid="{00000000-0005-0000-0000-00006B000000}"/>
    <cellStyle name="Input 3 10 2 15" xfId="3653" xr:uid="{00000000-0005-0000-0000-00006B000000}"/>
    <cellStyle name="Input 3 10 2 16" xfId="3807" xr:uid="{00000000-0005-0000-0000-00006B000000}"/>
    <cellStyle name="Input 3 10 2 17" xfId="3772" xr:uid="{00000000-0005-0000-0000-00006B000000}"/>
    <cellStyle name="Input 3 10 2 18" xfId="4377" xr:uid="{00000000-0005-0000-0000-00006B000000}"/>
    <cellStyle name="Input 3 10 2 19" xfId="4497" xr:uid="{00000000-0005-0000-0000-00006B000000}"/>
    <cellStyle name="Input 3 10 2 2" xfId="545" xr:uid="{00000000-0005-0000-0000-00006B000000}"/>
    <cellStyle name="Input 3 10 2 20" xfId="4826" xr:uid="{00000000-0005-0000-0000-00006B000000}"/>
    <cellStyle name="Input 3 10 2 3" xfId="439" xr:uid="{00000000-0005-0000-0000-00006B000000}"/>
    <cellStyle name="Input 3 10 2 4" xfId="646" xr:uid="{00000000-0005-0000-0000-00006B000000}"/>
    <cellStyle name="Input 3 10 2 5" xfId="1237" xr:uid="{00000000-0005-0000-0000-00006B000000}"/>
    <cellStyle name="Input 3 10 2 6" xfId="1474" xr:uid="{00000000-0005-0000-0000-00006B000000}"/>
    <cellStyle name="Input 3 10 2 7" xfId="1710" xr:uid="{00000000-0005-0000-0000-00006B000000}"/>
    <cellStyle name="Input 3 10 2 8" xfId="1946" xr:uid="{00000000-0005-0000-0000-00006B000000}"/>
    <cellStyle name="Input 3 10 2 9" xfId="2226" xr:uid="{00000000-0005-0000-0000-00006B000000}"/>
    <cellStyle name="Input 3 10 20" xfId="4400" xr:uid="{00000000-0005-0000-0000-00006A000000}"/>
    <cellStyle name="Input 3 10 21" xfId="4706" xr:uid="{00000000-0005-0000-0000-00006A000000}"/>
    <cellStyle name="Input 3 10 3" xfId="424" xr:uid="{00000000-0005-0000-0000-00006A000000}"/>
    <cellStyle name="Input 3 10 4" xfId="290" xr:uid="{00000000-0005-0000-0000-00006A000000}"/>
    <cellStyle name="Input 3 10 5" xfId="963" xr:uid="{00000000-0005-0000-0000-00006A000000}"/>
    <cellStyle name="Input 3 10 6" xfId="1117" xr:uid="{00000000-0005-0000-0000-00006A000000}"/>
    <cellStyle name="Input 3 10 7" xfId="1354" xr:uid="{00000000-0005-0000-0000-00006A000000}"/>
    <cellStyle name="Input 3 10 8" xfId="1590" xr:uid="{00000000-0005-0000-0000-00006A000000}"/>
    <cellStyle name="Input 3 10 9" xfId="1826" xr:uid="{00000000-0005-0000-0000-00006A000000}"/>
    <cellStyle name="Input 3 11" xfId="150" xr:uid="{00000000-0005-0000-0000-00006C000000}"/>
    <cellStyle name="Input 3 11 10" xfId="2111" xr:uid="{00000000-0005-0000-0000-00006C000000}"/>
    <cellStyle name="Input 3 11 11" xfId="2294" xr:uid="{00000000-0005-0000-0000-00006C000000}"/>
    <cellStyle name="Input 3 11 12" xfId="2534" xr:uid="{00000000-0005-0000-0000-00006C000000}"/>
    <cellStyle name="Input 3 11 13" xfId="2685" xr:uid="{00000000-0005-0000-0000-00006C000000}"/>
    <cellStyle name="Input 3 11 14" xfId="3070" xr:uid="{00000000-0005-0000-0000-00006C000000}"/>
    <cellStyle name="Input 3 11 15" xfId="2830" xr:uid="{00000000-0005-0000-0000-00006C000000}"/>
    <cellStyle name="Input 3 11 16" xfId="3538" xr:uid="{00000000-0005-0000-0000-00006C000000}"/>
    <cellStyle name="Input 3 11 17" xfId="3733" xr:uid="{00000000-0005-0000-0000-00006C000000}"/>
    <cellStyle name="Input 3 11 18" xfId="4096" xr:uid="{00000000-0005-0000-0000-00006C000000}"/>
    <cellStyle name="Input 3 11 19" xfId="4262" xr:uid="{00000000-0005-0000-0000-00006C000000}"/>
    <cellStyle name="Input 3 11 2" xfId="271" xr:uid="{00000000-0005-0000-0000-00006D000000}"/>
    <cellStyle name="Input 3 11 2 10" xfId="2408" xr:uid="{00000000-0005-0000-0000-00006D000000}"/>
    <cellStyle name="Input 3 11 2 11" xfId="2646" xr:uid="{00000000-0005-0000-0000-00006D000000}"/>
    <cellStyle name="Input 3 11 2 12" xfId="2591" xr:uid="{00000000-0005-0000-0000-00006D000000}"/>
    <cellStyle name="Input 3 11 2 13" xfId="3191" xr:uid="{00000000-0005-0000-0000-00006D000000}"/>
    <cellStyle name="Input 3 11 2 14" xfId="2816" xr:uid="{00000000-0005-0000-0000-00006D000000}"/>
    <cellStyle name="Input 3 11 2 15" xfId="3659" xr:uid="{00000000-0005-0000-0000-00006D000000}"/>
    <cellStyle name="Input 3 11 2 16" xfId="3845" xr:uid="{00000000-0005-0000-0000-00006D000000}"/>
    <cellStyle name="Input 3 11 2 17" xfId="4028" xr:uid="{00000000-0005-0000-0000-00006D000000}"/>
    <cellStyle name="Input 3 11 2 18" xfId="4383" xr:uid="{00000000-0005-0000-0000-00006D000000}"/>
    <cellStyle name="Input 3 11 2 19" xfId="4587" xr:uid="{00000000-0005-0000-0000-00006D000000}"/>
    <cellStyle name="Input 3 11 2 2" xfId="551" xr:uid="{00000000-0005-0000-0000-00006D000000}"/>
    <cellStyle name="Input 3 11 2 20" xfId="4832" xr:uid="{00000000-0005-0000-0000-00006D000000}"/>
    <cellStyle name="Input 3 11 2 3" xfId="321" xr:uid="{00000000-0005-0000-0000-00006D000000}"/>
    <cellStyle name="Input 3 11 2 4" xfId="682" xr:uid="{00000000-0005-0000-0000-00006D000000}"/>
    <cellStyle name="Input 3 11 2 5" xfId="1243" xr:uid="{00000000-0005-0000-0000-00006D000000}"/>
    <cellStyle name="Input 3 11 2 6" xfId="1480" xr:uid="{00000000-0005-0000-0000-00006D000000}"/>
    <cellStyle name="Input 3 11 2 7" xfId="1716" xr:uid="{00000000-0005-0000-0000-00006D000000}"/>
    <cellStyle name="Input 3 11 2 8" xfId="1952" xr:uid="{00000000-0005-0000-0000-00006D000000}"/>
    <cellStyle name="Input 3 11 2 9" xfId="2232" xr:uid="{00000000-0005-0000-0000-00006D000000}"/>
    <cellStyle name="Input 3 11 20" xfId="4565" xr:uid="{00000000-0005-0000-0000-00006C000000}"/>
    <cellStyle name="Input 3 11 21" xfId="4712" xr:uid="{00000000-0005-0000-0000-00006C000000}"/>
    <cellStyle name="Input 3 11 3" xfId="430" xr:uid="{00000000-0005-0000-0000-00006C000000}"/>
    <cellStyle name="Input 3 11 4" xfId="657" xr:uid="{00000000-0005-0000-0000-00006C000000}"/>
    <cellStyle name="Input 3 11 5" xfId="715" xr:uid="{00000000-0005-0000-0000-00006C000000}"/>
    <cellStyle name="Input 3 11 6" xfId="1123" xr:uid="{00000000-0005-0000-0000-00006C000000}"/>
    <cellStyle name="Input 3 11 7" xfId="1360" xr:uid="{00000000-0005-0000-0000-00006C000000}"/>
    <cellStyle name="Input 3 11 8" xfId="1596" xr:uid="{00000000-0005-0000-0000-00006C000000}"/>
    <cellStyle name="Input 3 11 9" xfId="1832" xr:uid="{00000000-0005-0000-0000-00006C000000}"/>
    <cellStyle name="Input 3 12" xfId="156" xr:uid="{00000000-0005-0000-0000-00006E000000}"/>
    <cellStyle name="Input 3 12 10" xfId="2117" xr:uid="{00000000-0005-0000-0000-00006E000000}"/>
    <cellStyle name="Input 3 12 11" xfId="2260" xr:uid="{00000000-0005-0000-0000-00006E000000}"/>
    <cellStyle name="Input 3 12 12" xfId="2500" xr:uid="{00000000-0005-0000-0000-00006E000000}"/>
    <cellStyle name="Input 3 12 13" xfId="2918" xr:uid="{00000000-0005-0000-0000-00006E000000}"/>
    <cellStyle name="Input 3 12 14" xfId="3076" xr:uid="{00000000-0005-0000-0000-00006E000000}"/>
    <cellStyle name="Input 3 12 15" xfId="3394" xr:uid="{00000000-0005-0000-0000-00006E000000}"/>
    <cellStyle name="Input 3 12 16" xfId="3544" xr:uid="{00000000-0005-0000-0000-00006E000000}"/>
    <cellStyle name="Input 3 12 17" xfId="3699" xr:uid="{00000000-0005-0000-0000-00006E000000}"/>
    <cellStyle name="Input 3 12 18" xfId="4111" xr:uid="{00000000-0005-0000-0000-00006E000000}"/>
    <cellStyle name="Input 3 12 19" xfId="4268" xr:uid="{00000000-0005-0000-0000-00006E000000}"/>
    <cellStyle name="Input 3 12 2" xfId="277" xr:uid="{00000000-0005-0000-0000-00006F000000}"/>
    <cellStyle name="Input 3 12 2 10" xfId="2446" xr:uid="{00000000-0005-0000-0000-00006F000000}"/>
    <cellStyle name="Input 3 12 2 11" xfId="2684" xr:uid="{00000000-0005-0000-0000-00006F000000}"/>
    <cellStyle name="Input 3 12 2 12" xfId="2574" xr:uid="{00000000-0005-0000-0000-00006F000000}"/>
    <cellStyle name="Input 3 12 2 13" xfId="3197" xr:uid="{00000000-0005-0000-0000-00006F000000}"/>
    <cellStyle name="Input 3 12 2 14" xfId="2810" xr:uid="{00000000-0005-0000-0000-00006F000000}"/>
    <cellStyle name="Input 3 12 2 15" xfId="3665" xr:uid="{00000000-0005-0000-0000-00006F000000}"/>
    <cellStyle name="Input 3 12 2 16" xfId="3883" xr:uid="{00000000-0005-0000-0000-00006F000000}"/>
    <cellStyle name="Input 3 12 2 17" xfId="4129" xr:uid="{00000000-0005-0000-0000-00006F000000}"/>
    <cellStyle name="Input 3 12 2 18" xfId="4389" xr:uid="{00000000-0005-0000-0000-00006F000000}"/>
    <cellStyle name="Input 3 12 2 19" xfId="4501" xr:uid="{00000000-0005-0000-0000-00006F000000}"/>
    <cellStyle name="Input 3 12 2 2" xfId="557" xr:uid="{00000000-0005-0000-0000-00006F000000}"/>
    <cellStyle name="Input 3 12 2 20" xfId="4838" xr:uid="{00000000-0005-0000-0000-00006F000000}"/>
    <cellStyle name="Input 3 12 2 3" xfId="560" xr:uid="{00000000-0005-0000-0000-00006F000000}"/>
    <cellStyle name="Input 3 12 2 4" xfId="771" xr:uid="{00000000-0005-0000-0000-00006F000000}"/>
    <cellStyle name="Input 3 12 2 5" xfId="1249" xr:uid="{00000000-0005-0000-0000-00006F000000}"/>
    <cellStyle name="Input 3 12 2 6" xfId="1486" xr:uid="{00000000-0005-0000-0000-00006F000000}"/>
    <cellStyle name="Input 3 12 2 7" xfId="1722" xr:uid="{00000000-0005-0000-0000-00006F000000}"/>
    <cellStyle name="Input 3 12 2 8" xfId="1958" xr:uid="{00000000-0005-0000-0000-00006F000000}"/>
    <cellStyle name="Input 3 12 2 9" xfId="2238" xr:uid="{00000000-0005-0000-0000-00006F000000}"/>
    <cellStyle name="Input 3 12 20" xfId="4518" xr:uid="{00000000-0005-0000-0000-00006E000000}"/>
    <cellStyle name="Input 3 12 21" xfId="4718" xr:uid="{00000000-0005-0000-0000-00006E000000}"/>
    <cellStyle name="Input 3 12 3" xfId="436" xr:uid="{00000000-0005-0000-0000-00006E000000}"/>
    <cellStyle name="Input 3 12 4" xfId="616" xr:uid="{00000000-0005-0000-0000-00006E000000}"/>
    <cellStyle name="Input 3 12 5" xfId="984" xr:uid="{00000000-0005-0000-0000-00006E000000}"/>
    <cellStyle name="Input 3 12 6" xfId="1129" xr:uid="{00000000-0005-0000-0000-00006E000000}"/>
    <cellStyle name="Input 3 12 7" xfId="1366" xr:uid="{00000000-0005-0000-0000-00006E000000}"/>
    <cellStyle name="Input 3 12 8" xfId="1602" xr:uid="{00000000-0005-0000-0000-00006E000000}"/>
    <cellStyle name="Input 3 12 9" xfId="1838" xr:uid="{00000000-0005-0000-0000-00006E000000}"/>
    <cellStyle name="Input 3 13" xfId="167" xr:uid="{00000000-0005-0000-0000-000070000000}"/>
    <cellStyle name="Input 3 13 10" xfId="2388" xr:uid="{00000000-0005-0000-0000-000070000000}"/>
    <cellStyle name="Input 3 13 11" xfId="2626" xr:uid="{00000000-0005-0000-0000-000070000000}"/>
    <cellStyle name="Input 3 13 12" xfId="2744" xr:uid="{00000000-0005-0000-0000-000070000000}"/>
    <cellStyle name="Input 3 13 13" xfId="3087" xr:uid="{00000000-0005-0000-0000-000070000000}"/>
    <cellStyle name="Input 3 13 14" xfId="3226" xr:uid="{00000000-0005-0000-0000-000070000000}"/>
    <cellStyle name="Input 3 13 15" xfId="3555" xr:uid="{00000000-0005-0000-0000-000070000000}"/>
    <cellStyle name="Input 3 13 16" xfId="3825" xr:uid="{00000000-0005-0000-0000-000070000000}"/>
    <cellStyle name="Input 3 13 17" xfId="4077" xr:uid="{00000000-0005-0000-0000-000070000000}"/>
    <cellStyle name="Input 3 13 18" xfId="4279" xr:uid="{00000000-0005-0000-0000-000070000000}"/>
    <cellStyle name="Input 3 13 19" xfId="4489" xr:uid="{00000000-0005-0000-0000-000070000000}"/>
    <cellStyle name="Input 3 13 2" xfId="447" xr:uid="{00000000-0005-0000-0000-000070000000}"/>
    <cellStyle name="Input 3 13 20" xfId="4728" xr:uid="{00000000-0005-0000-0000-000070000000}"/>
    <cellStyle name="Input 3 13 3" xfId="675" xr:uid="{00000000-0005-0000-0000-000070000000}"/>
    <cellStyle name="Input 3 13 4" xfId="822" xr:uid="{00000000-0005-0000-0000-000070000000}"/>
    <cellStyle name="Input 3 13 5" xfId="1139" xr:uid="{00000000-0005-0000-0000-000070000000}"/>
    <cellStyle name="Input 3 13 6" xfId="1376" xr:uid="{00000000-0005-0000-0000-000070000000}"/>
    <cellStyle name="Input 3 13 7" xfId="1612" xr:uid="{00000000-0005-0000-0000-000070000000}"/>
    <cellStyle name="Input 3 13 8" xfId="1848" xr:uid="{00000000-0005-0000-0000-000070000000}"/>
    <cellStyle name="Input 3 13 9" xfId="2128" xr:uid="{00000000-0005-0000-0000-000070000000}"/>
    <cellStyle name="Input 3 14" xfId="326" xr:uid="{00000000-0005-0000-0000-000069000000}"/>
    <cellStyle name="Input 3 15" xfId="286" xr:uid="{00000000-0005-0000-0000-000069000000}"/>
    <cellStyle name="Input 3 16" xfId="998" xr:uid="{00000000-0005-0000-0000-000069000000}"/>
    <cellStyle name="Input 3 17" xfId="1019" xr:uid="{00000000-0005-0000-0000-000069000000}"/>
    <cellStyle name="Input 3 18" xfId="1256" xr:uid="{00000000-0005-0000-0000-000069000000}"/>
    <cellStyle name="Input 3 19" xfId="1492" xr:uid="{00000000-0005-0000-0000-000069000000}"/>
    <cellStyle name="Input 3 2" xfId="65" xr:uid="{00000000-0005-0000-0000-000071000000}"/>
    <cellStyle name="Input 3 2 10" xfId="2026" xr:uid="{00000000-0005-0000-0000-000071000000}"/>
    <cellStyle name="Input 3 2 11" xfId="2262" xr:uid="{00000000-0005-0000-0000-000071000000}"/>
    <cellStyle name="Input 3 2 12" xfId="2502" xr:uid="{00000000-0005-0000-0000-000071000000}"/>
    <cellStyle name="Input 3 2 13" xfId="2864" xr:uid="{00000000-0005-0000-0000-000071000000}"/>
    <cellStyle name="Input 3 2 14" xfId="2985" xr:uid="{00000000-0005-0000-0000-000071000000}"/>
    <cellStyle name="Input 3 2 15" xfId="3340" xr:uid="{00000000-0005-0000-0000-000071000000}"/>
    <cellStyle name="Input 3 2 16" xfId="3453" xr:uid="{00000000-0005-0000-0000-000071000000}"/>
    <cellStyle name="Input 3 2 17" xfId="3701" xr:uid="{00000000-0005-0000-0000-000071000000}"/>
    <cellStyle name="Input 3 2 18" xfId="4033" xr:uid="{00000000-0005-0000-0000-000071000000}"/>
    <cellStyle name="Input 3 2 19" xfId="4177" xr:uid="{00000000-0005-0000-0000-000071000000}"/>
    <cellStyle name="Input 3 2 2" xfId="186" xr:uid="{00000000-0005-0000-0000-000072000000}"/>
    <cellStyle name="Input 3 2 2 10" xfId="2402" xr:uid="{00000000-0005-0000-0000-000072000000}"/>
    <cellStyle name="Input 3 2 2 11" xfId="2640" xr:uid="{00000000-0005-0000-0000-000072000000}"/>
    <cellStyle name="Input 3 2 2 12" xfId="2859" xr:uid="{00000000-0005-0000-0000-000072000000}"/>
    <cellStyle name="Input 3 2 2 13" xfId="3106" xr:uid="{00000000-0005-0000-0000-000072000000}"/>
    <cellStyle name="Input 3 2 2 14" xfId="3335" xr:uid="{00000000-0005-0000-0000-000072000000}"/>
    <cellStyle name="Input 3 2 2 15" xfId="3574" xr:uid="{00000000-0005-0000-0000-000072000000}"/>
    <cellStyle name="Input 3 2 2 16" xfId="3839" xr:uid="{00000000-0005-0000-0000-000072000000}"/>
    <cellStyle name="Input 3 2 2 17" xfId="3940" xr:uid="{00000000-0005-0000-0000-000072000000}"/>
    <cellStyle name="Input 3 2 2 18" xfId="4298" xr:uid="{00000000-0005-0000-0000-000072000000}"/>
    <cellStyle name="Input 3 2 2 19" xfId="4482" xr:uid="{00000000-0005-0000-0000-000072000000}"/>
    <cellStyle name="Input 3 2 2 2" xfId="466" xr:uid="{00000000-0005-0000-0000-000072000000}"/>
    <cellStyle name="Input 3 2 2 20" xfId="4747" xr:uid="{00000000-0005-0000-0000-000072000000}"/>
    <cellStyle name="Input 3 2 2 3" xfId="569" xr:uid="{00000000-0005-0000-0000-000072000000}"/>
    <cellStyle name="Input 3 2 2 4" xfId="929" xr:uid="{00000000-0005-0000-0000-000072000000}"/>
    <cellStyle name="Input 3 2 2 5" xfId="1158" xr:uid="{00000000-0005-0000-0000-000072000000}"/>
    <cellStyle name="Input 3 2 2 6" xfId="1395" xr:uid="{00000000-0005-0000-0000-000072000000}"/>
    <cellStyle name="Input 3 2 2 7" xfId="1631" xr:uid="{00000000-0005-0000-0000-000072000000}"/>
    <cellStyle name="Input 3 2 2 8" xfId="1867" xr:uid="{00000000-0005-0000-0000-000072000000}"/>
    <cellStyle name="Input 3 2 2 9" xfId="2147" xr:uid="{00000000-0005-0000-0000-000072000000}"/>
    <cellStyle name="Input 3 2 20" xfId="4576" xr:uid="{00000000-0005-0000-0000-000071000000}"/>
    <cellStyle name="Input 3 2 21" xfId="4627" xr:uid="{00000000-0005-0000-0000-000071000000}"/>
    <cellStyle name="Input 3 2 3" xfId="345" xr:uid="{00000000-0005-0000-0000-000071000000}"/>
    <cellStyle name="Input 3 2 4" xfId="795" xr:uid="{00000000-0005-0000-0000-000071000000}"/>
    <cellStyle name="Input 3 2 5" xfId="933" xr:uid="{00000000-0005-0000-0000-000071000000}"/>
    <cellStyle name="Input 3 2 6" xfId="1038" xr:uid="{00000000-0005-0000-0000-000071000000}"/>
    <cellStyle name="Input 3 2 7" xfId="1275" xr:uid="{00000000-0005-0000-0000-000071000000}"/>
    <cellStyle name="Input 3 2 8" xfId="1511" xr:uid="{00000000-0005-0000-0000-000071000000}"/>
    <cellStyle name="Input 3 2 9" xfId="1747" xr:uid="{00000000-0005-0000-0000-000071000000}"/>
    <cellStyle name="Input 3 20" xfId="1728" xr:uid="{00000000-0005-0000-0000-000069000000}"/>
    <cellStyle name="Input 3 21" xfId="2007" xr:uid="{00000000-0005-0000-0000-000069000000}"/>
    <cellStyle name="Input 3 22" xfId="1982" xr:uid="{00000000-0005-0000-0000-000069000000}"/>
    <cellStyle name="Input 3 23" xfId="2459" xr:uid="{00000000-0005-0000-0000-000069000000}"/>
    <cellStyle name="Input 3 24" xfId="2935" xr:uid="{00000000-0005-0000-0000-000069000000}"/>
    <cellStyle name="Input 3 25" xfId="2966" xr:uid="{00000000-0005-0000-0000-000069000000}"/>
    <cellStyle name="Input 3 26" xfId="3410" xr:uid="{00000000-0005-0000-0000-000069000000}"/>
    <cellStyle name="Input 3 27" xfId="3434" xr:uid="{00000000-0005-0000-0000-000069000000}"/>
    <cellStyle name="Input 3 28" xfId="3282" xr:uid="{00000000-0005-0000-0000-000069000000}"/>
    <cellStyle name="Input 3 29" xfId="4128" xr:uid="{00000000-0005-0000-0000-000069000000}"/>
    <cellStyle name="Input 3 3" xfId="74" xr:uid="{00000000-0005-0000-0000-000073000000}"/>
    <cellStyle name="Input 3 3 10" xfId="2035" xr:uid="{00000000-0005-0000-0000-000073000000}"/>
    <cellStyle name="Input 3 3 11" xfId="2341" xr:uid="{00000000-0005-0000-0000-000073000000}"/>
    <cellStyle name="Input 3 3 12" xfId="2580" xr:uid="{00000000-0005-0000-0000-000073000000}"/>
    <cellStyle name="Input 3 3 13" xfId="2726" xr:uid="{00000000-0005-0000-0000-000073000000}"/>
    <cellStyle name="Input 3 3 14" xfId="2994" xr:uid="{00000000-0005-0000-0000-000073000000}"/>
    <cellStyle name="Input 3 3 15" xfId="3208" xr:uid="{00000000-0005-0000-0000-000073000000}"/>
    <cellStyle name="Input 3 3 16" xfId="3462" xr:uid="{00000000-0005-0000-0000-000073000000}"/>
    <cellStyle name="Input 3 3 17" xfId="3778" xr:uid="{00000000-0005-0000-0000-000073000000}"/>
    <cellStyle name="Input 3 3 18" xfId="4139" xr:uid="{00000000-0005-0000-0000-000073000000}"/>
    <cellStyle name="Input 3 3 19" xfId="4186" xr:uid="{00000000-0005-0000-0000-000073000000}"/>
    <cellStyle name="Input 3 3 2" xfId="195" xr:uid="{00000000-0005-0000-0000-000074000000}"/>
    <cellStyle name="Input 3 3 2 10" xfId="2429" xr:uid="{00000000-0005-0000-0000-000074000000}"/>
    <cellStyle name="Input 3 3 2 11" xfId="2667" xr:uid="{00000000-0005-0000-0000-000074000000}"/>
    <cellStyle name="Input 3 3 2 12" xfId="2909" xr:uid="{00000000-0005-0000-0000-000074000000}"/>
    <cellStyle name="Input 3 3 2 13" xfId="3115" xr:uid="{00000000-0005-0000-0000-000074000000}"/>
    <cellStyle name="Input 3 3 2 14" xfId="3385" xr:uid="{00000000-0005-0000-0000-000074000000}"/>
    <cellStyle name="Input 3 3 2 15" xfId="3583" xr:uid="{00000000-0005-0000-0000-000074000000}"/>
    <cellStyle name="Input 3 3 2 16" xfId="3866" xr:uid="{00000000-0005-0000-0000-000074000000}"/>
    <cellStyle name="Input 3 3 2 17" xfId="3800" xr:uid="{00000000-0005-0000-0000-000074000000}"/>
    <cellStyle name="Input 3 3 2 18" xfId="4307" xr:uid="{00000000-0005-0000-0000-000074000000}"/>
    <cellStyle name="Input 3 3 2 19" xfId="4601" xr:uid="{00000000-0005-0000-0000-000074000000}"/>
    <cellStyle name="Input 3 3 2 2" xfId="475" xr:uid="{00000000-0005-0000-0000-000074000000}"/>
    <cellStyle name="Input 3 3 2 20" xfId="4756" xr:uid="{00000000-0005-0000-0000-000074000000}"/>
    <cellStyle name="Input 3 3 2 3" xfId="619" xr:uid="{00000000-0005-0000-0000-000074000000}"/>
    <cellStyle name="Input 3 3 2 4" xfId="975" xr:uid="{00000000-0005-0000-0000-000074000000}"/>
    <cellStyle name="Input 3 3 2 5" xfId="1167" xr:uid="{00000000-0005-0000-0000-000074000000}"/>
    <cellStyle name="Input 3 3 2 6" xfId="1404" xr:uid="{00000000-0005-0000-0000-000074000000}"/>
    <cellStyle name="Input 3 3 2 7" xfId="1640" xr:uid="{00000000-0005-0000-0000-000074000000}"/>
    <cellStyle name="Input 3 3 2 8" xfId="1876" xr:uid="{00000000-0005-0000-0000-000074000000}"/>
    <cellStyle name="Input 3 3 2 9" xfId="2156" xr:uid="{00000000-0005-0000-0000-000074000000}"/>
    <cellStyle name="Input 3 3 20" xfId="4588" xr:uid="{00000000-0005-0000-0000-000073000000}"/>
    <cellStyle name="Input 3 3 21" xfId="4636" xr:uid="{00000000-0005-0000-0000-000073000000}"/>
    <cellStyle name="Input 3 3 3" xfId="354" xr:uid="{00000000-0005-0000-0000-000073000000}"/>
    <cellStyle name="Input 3 3 4" xfId="739" xr:uid="{00000000-0005-0000-0000-000073000000}"/>
    <cellStyle name="Input 3 3 5" xfId="806" xr:uid="{00000000-0005-0000-0000-000073000000}"/>
    <cellStyle name="Input 3 3 6" xfId="1047" xr:uid="{00000000-0005-0000-0000-000073000000}"/>
    <cellStyle name="Input 3 3 7" xfId="1284" xr:uid="{00000000-0005-0000-0000-000073000000}"/>
    <cellStyle name="Input 3 3 8" xfId="1520" xr:uid="{00000000-0005-0000-0000-000073000000}"/>
    <cellStyle name="Input 3 3 9" xfId="1756" xr:uid="{00000000-0005-0000-0000-000073000000}"/>
    <cellStyle name="Input 3 30" xfId="4158" xr:uid="{00000000-0005-0000-0000-000069000000}"/>
    <cellStyle name="Input 3 31" xfId="3955" xr:uid="{00000000-0005-0000-0000-000069000000}"/>
    <cellStyle name="Input 3 32" xfId="4608" xr:uid="{00000000-0005-0000-0000-000069000000}"/>
    <cellStyle name="Input 3 4" xfId="84" xr:uid="{00000000-0005-0000-0000-000075000000}"/>
    <cellStyle name="Input 3 4 10" xfId="2045" xr:uid="{00000000-0005-0000-0000-000075000000}"/>
    <cellStyle name="Input 3 4 11" xfId="2358" xr:uid="{00000000-0005-0000-0000-000075000000}"/>
    <cellStyle name="Input 3 4 12" xfId="2597" xr:uid="{00000000-0005-0000-0000-000075000000}"/>
    <cellStyle name="Input 3 4 13" xfId="2748" xr:uid="{00000000-0005-0000-0000-000075000000}"/>
    <cellStyle name="Input 3 4 14" xfId="3004" xr:uid="{00000000-0005-0000-0000-000075000000}"/>
    <cellStyle name="Input 3 4 15" xfId="3229" xr:uid="{00000000-0005-0000-0000-000075000000}"/>
    <cellStyle name="Input 3 4 16" xfId="3472" xr:uid="{00000000-0005-0000-0000-000075000000}"/>
    <cellStyle name="Input 3 4 17" xfId="3795" xr:uid="{00000000-0005-0000-0000-000075000000}"/>
    <cellStyle name="Input 3 4 18" xfId="3923" xr:uid="{00000000-0005-0000-0000-000075000000}"/>
    <cellStyle name="Input 3 4 19" xfId="4196" xr:uid="{00000000-0005-0000-0000-000075000000}"/>
    <cellStyle name="Input 3 4 2" xfId="205" xr:uid="{00000000-0005-0000-0000-000076000000}"/>
    <cellStyle name="Input 3 4 2 10" xfId="2282" xr:uid="{00000000-0005-0000-0000-000076000000}"/>
    <cellStyle name="Input 3 4 2 11" xfId="2522" xr:uid="{00000000-0005-0000-0000-000076000000}"/>
    <cellStyle name="Input 3 4 2 12" xfId="2555" xr:uid="{00000000-0005-0000-0000-000076000000}"/>
    <cellStyle name="Input 3 4 2 13" xfId="3125" xr:uid="{00000000-0005-0000-0000-000076000000}"/>
    <cellStyle name="Input 3 4 2 14" xfId="2750" xr:uid="{00000000-0005-0000-0000-000076000000}"/>
    <cellStyle name="Input 3 4 2 15" xfId="3593" xr:uid="{00000000-0005-0000-0000-000076000000}"/>
    <cellStyle name="Input 3 4 2 16" xfId="3721" xr:uid="{00000000-0005-0000-0000-000076000000}"/>
    <cellStyle name="Input 3 4 2 17" xfId="3935" xr:uid="{00000000-0005-0000-0000-000076000000}"/>
    <cellStyle name="Input 3 4 2 18" xfId="4317" xr:uid="{00000000-0005-0000-0000-000076000000}"/>
    <cellStyle name="Input 3 4 2 19" xfId="4471" xr:uid="{00000000-0005-0000-0000-000076000000}"/>
    <cellStyle name="Input 3 4 2 2" xfId="485" xr:uid="{00000000-0005-0000-0000-000076000000}"/>
    <cellStyle name="Input 3 4 2 20" xfId="4766" xr:uid="{00000000-0005-0000-0000-000076000000}"/>
    <cellStyle name="Input 3 4 2 3" xfId="774" xr:uid="{00000000-0005-0000-0000-000076000000}"/>
    <cellStyle name="Input 3 4 2 4" xfId="731" xr:uid="{00000000-0005-0000-0000-000076000000}"/>
    <cellStyle name="Input 3 4 2 5" xfId="1177" xr:uid="{00000000-0005-0000-0000-000076000000}"/>
    <cellStyle name="Input 3 4 2 6" xfId="1414" xr:uid="{00000000-0005-0000-0000-000076000000}"/>
    <cellStyle name="Input 3 4 2 7" xfId="1650" xr:uid="{00000000-0005-0000-0000-000076000000}"/>
    <cellStyle name="Input 3 4 2 8" xfId="1886" xr:uid="{00000000-0005-0000-0000-000076000000}"/>
    <cellStyle name="Input 3 4 2 9" xfId="2166" xr:uid="{00000000-0005-0000-0000-000076000000}"/>
    <cellStyle name="Input 3 4 20" xfId="4596" xr:uid="{00000000-0005-0000-0000-000075000000}"/>
    <cellStyle name="Input 3 4 21" xfId="4646" xr:uid="{00000000-0005-0000-0000-000075000000}"/>
    <cellStyle name="Input 3 4 3" xfId="364" xr:uid="{00000000-0005-0000-0000-000075000000}"/>
    <cellStyle name="Input 3 4 4" xfId="707" xr:uid="{00000000-0005-0000-0000-000075000000}"/>
    <cellStyle name="Input 3 4 5" xfId="825" xr:uid="{00000000-0005-0000-0000-000075000000}"/>
    <cellStyle name="Input 3 4 6" xfId="1057" xr:uid="{00000000-0005-0000-0000-000075000000}"/>
    <cellStyle name="Input 3 4 7" xfId="1294" xr:uid="{00000000-0005-0000-0000-000075000000}"/>
    <cellStyle name="Input 3 4 8" xfId="1530" xr:uid="{00000000-0005-0000-0000-000075000000}"/>
    <cellStyle name="Input 3 4 9" xfId="1766" xr:uid="{00000000-0005-0000-0000-000075000000}"/>
    <cellStyle name="Input 3 5" xfId="90" xr:uid="{00000000-0005-0000-0000-000077000000}"/>
    <cellStyle name="Input 3 5 10" xfId="2051" xr:uid="{00000000-0005-0000-0000-000077000000}"/>
    <cellStyle name="Input 3 5 11" xfId="2298" xr:uid="{00000000-0005-0000-0000-000077000000}"/>
    <cellStyle name="Input 3 5 12" xfId="2538" xr:uid="{00000000-0005-0000-0000-000077000000}"/>
    <cellStyle name="Input 3 5 13" xfId="2737" xr:uid="{00000000-0005-0000-0000-000077000000}"/>
    <cellStyle name="Input 3 5 14" xfId="3010" xr:uid="{00000000-0005-0000-0000-000077000000}"/>
    <cellStyle name="Input 3 5 15" xfId="3219" xr:uid="{00000000-0005-0000-0000-000077000000}"/>
    <cellStyle name="Input 3 5 16" xfId="3478" xr:uid="{00000000-0005-0000-0000-000077000000}"/>
    <cellStyle name="Input 3 5 17" xfId="3737" xr:uid="{00000000-0005-0000-0000-000077000000}"/>
    <cellStyle name="Input 3 5 18" xfId="4112" xr:uid="{00000000-0005-0000-0000-000077000000}"/>
    <cellStyle name="Input 3 5 19" xfId="4202" xr:uid="{00000000-0005-0000-0000-000077000000}"/>
    <cellStyle name="Input 3 5 2" xfId="211" xr:uid="{00000000-0005-0000-0000-000078000000}"/>
    <cellStyle name="Input 3 5 2 10" xfId="2311" xr:uid="{00000000-0005-0000-0000-000078000000}"/>
    <cellStyle name="Input 3 5 2 11" xfId="2551" xr:uid="{00000000-0005-0000-0000-000078000000}"/>
    <cellStyle name="Input 3 5 2 12" xfId="2806" xr:uid="{00000000-0005-0000-0000-000078000000}"/>
    <cellStyle name="Input 3 5 2 13" xfId="3131" xr:uid="{00000000-0005-0000-0000-000078000000}"/>
    <cellStyle name="Input 3 5 2 14" xfId="3284" xr:uid="{00000000-0005-0000-0000-000078000000}"/>
    <cellStyle name="Input 3 5 2 15" xfId="3599" xr:uid="{00000000-0005-0000-0000-000078000000}"/>
    <cellStyle name="Input 3 5 2 16" xfId="3750" xr:uid="{00000000-0005-0000-0000-000078000000}"/>
    <cellStyle name="Input 3 5 2 17" xfId="4062" xr:uid="{00000000-0005-0000-0000-000078000000}"/>
    <cellStyle name="Input 3 5 2 18" xfId="4323" xr:uid="{00000000-0005-0000-0000-000078000000}"/>
    <cellStyle name="Input 3 5 2 19" xfId="4509" xr:uid="{00000000-0005-0000-0000-000078000000}"/>
    <cellStyle name="Input 3 5 2 2" xfId="491" xr:uid="{00000000-0005-0000-0000-000078000000}"/>
    <cellStyle name="Input 3 5 2 20" xfId="4772" xr:uid="{00000000-0005-0000-0000-000078000000}"/>
    <cellStyle name="Input 3 5 2 3" xfId="733" xr:uid="{00000000-0005-0000-0000-000078000000}"/>
    <cellStyle name="Input 3 5 2 4" xfId="882" xr:uid="{00000000-0005-0000-0000-000078000000}"/>
    <cellStyle name="Input 3 5 2 5" xfId="1183" xr:uid="{00000000-0005-0000-0000-000078000000}"/>
    <cellStyle name="Input 3 5 2 6" xfId="1420" xr:uid="{00000000-0005-0000-0000-000078000000}"/>
    <cellStyle name="Input 3 5 2 7" xfId="1656" xr:uid="{00000000-0005-0000-0000-000078000000}"/>
    <cellStyle name="Input 3 5 2 8" xfId="1892" xr:uid="{00000000-0005-0000-0000-000078000000}"/>
    <cellStyle name="Input 3 5 2 9" xfId="2172" xr:uid="{00000000-0005-0000-0000-000078000000}"/>
    <cellStyle name="Input 3 5 20" xfId="4542" xr:uid="{00000000-0005-0000-0000-000077000000}"/>
    <cellStyle name="Input 3 5 21" xfId="4652" xr:uid="{00000000-0005-0000-0000-000077000000}"/>
    <cellStyle name="Input 3 5 3" xfId="370" xr:uid="{00000000-0005-0000-0000-000077000000}"/>
    <cellStyle name="Input 3 5 4" xfId="645" xr:uid="{00000000-0005-0000-0000-000077000000}"/>
    <cellStyle name="Input 3 5 5" xfId="816" xr:uid="{00000000-0005-0000-0000-000077000000}"/>
    <cellStyle name="Input 3 5 6" xfId="1063" xr:uid="{00000000-0005-0000-0000-000077000000}"/>
    <cellStyle name="Input 3 5 7" xfId="1300" xr:uid="{00000000-0005-0000-0000-000077000000}"/>
    <cellStyle name="Input 3 5 8" xfId="1536" xr:uid="{00000000-0005-0000-0000-000077000000}"/>
    <cellStyle name="Input 3 5 9" xfId="1772" xr:uid="{00000000-0005-0000-0000-000077000000}"/>
    <cellStyle name="Input 3 6" xfId="96" xr:uid="{00000000-0005-0000-0000-000079000000}"/>
    <cellStyle name="Input 3 6 10" xfId="2057" xr:uid="{00000000-0005-0000-0000-000079000000}"/>
    <cellStyle name="Input 3 6 11" xfId="2366" xr:uid="{00000000-0005-0000-0000-000079000000}"/>
    <cellStyle name="Input 3 6 12" xfId="2605" xr:uid="{00000000-0005-0000-0000-000079000000}"/>
    <cellStyle name="Input 3 6 13" xfId="2899" xr:uid="{00000000-0005-0000-0000-000079000000}"/>
    <cellStyle name="Input 3 6 14" xfId="3016" xr:uid="{00000000-0005-0000-0000-000079000000}"/>
    <cellStyle name="Input 3 6 15" xfId="3375" xr:uid="{00000000-0005-0000-0000-000079000000}"/>
    <cellStyle name="Input 3 6 16" xfId="3484" xr:uid="{00000000-0005-0000-0000-000079000000}"/>
    <cellStyle name="Input 3 6 17" xfId="3803" xr:uid="{00000000-0005-0000-0000-000079000000}"/>
    <cellStyle name="Input 3 6 18" xfId="3925" xr:uid="{00000000-0005-0000-0000-000079000000}"/>
    <cellStyle name="Input 3 6 19" xfId="4208" xr:uid="{00000000-0005-0000-0000-000079000000}"/>
    <cellStyle name="Input 3 6 2" xfId="217" xr:uid="{00000000-0005-0000-0000-00007A000000}"/>
    <cellStyle name="Input 3 6 2 10" xfId="2269" xr:uid="{00000000-0005-0000-0000-00007A000000}"/>
    <cellStyle name="Input 3 6 2 11" xfId="2509" xr:uid="{00000000-0005-0000-0000-00007A000000}"/>
    <cellStyle name="Input 3 6 2 12" xfId="2767" xr:uid="{00000000-0005-0000-0000-00007A000000}"/>
    <cellStyle name="Input 3 6 2 13" xfId="3137" xr:uid="{00000000-0005-0000-0000-00007A000000}"/>
    <cellStyle name="Input 3 6 2 14" xfId="3247" xr:uid="{00000000-0005-0000-0000-00007A000000}"/>
    <cellStyle name="Input 3 6 2 15" xfId="3605" xr:uid="{00000000-0005-0000-0000-00007A000000}"/>
    <cellStyle name="Input 3 6 2 16" xfId="3708" xr:uid="{00000000-0005-0000-0000-00007A000000}"/>
    <cellStyle name="Input 3 6 2 17" xfId="3251" xr:uid="{00000000-0005-0000-0000-00007A000000}"/>
    <cellStyle name="Input 3 6 2 18" xfId="4329" xr:uid="{00000000-0005-0000-0000-00007A000000}"/>
    <cellStyle name="Input 3 6 2 19" xfId="4533" xr:uid="{00000000-0005-0000-0000-00007A000000}"/>
    <cellStyle name="Input 3 6 2 2" xfId="497" xr:uid="{00000000-0005-0000-0000-00007A000000}"/>
    <cellStyle name="Input 3 6 2 20" xfId="4778" xr:uid="{00000000-0005-0000-0000-00007A000000}"/>
    <cellStyle name="Input 3 6 2 3" xfId="711" xr:uid="{00000000-0005-0000-0000-00007A000000}"/>
    <cellStyle name="Input 3 6 2 4" xfId="843" xr:uid="{00000000-0005-0000-0000-00007A000000}"/>
    <cellStyle name="Input 3 6 2 5" xfId="1189" xr:uid="{00000000-0005-0000-0000-00007A000000}"/>
    <cellStyle name="Input 3 6 2 6" xfId="1426" xr:uid="{00000000-0005-0000-0000-00007A000000}"/>
    <cellStyle name="Input 3 6 2 7" xfId="1662" xr:uid="{00000000-0005-0000-0000-00007A000000}"/>
    <cellStyle name="Input 3 6 2 8" xfId="1898" xr:uid="{00000000-0005-0000-0000-00007A000000}"/>
    <cellStyle name="Input 3 6 2 9" xfId="2178" xr:uid="{00000000-0005-0000-0000-00007A000000}"/>
    <cellStyle name="Input 3 6 20" xfId="4394" xr:uid="{00000000-0005-0000-0000-000079000000}"/>
    <cellStyle name="Input 3 6 21" xfId="4658" xr:uid="{00000000-0005-0000-0000-000079000000}"/>
    <cellStyle name="Input 3 6 3" xfId="376" xr:uid="{00000000-0005-0000-0000-000079000000}"/>
    <cellStyle name="Input 3 6 4" xfId="775" xr:uid="{00000000-0005-0000-0000-000079000000}"/>
    <cellStyle name="Input 3 6 5" xfId="965" xr:uid="{00000000-0005-0000-0000-000079000000}"/>
    <cellStyle name="Input 3 6 6" xfId="1069" xr:uid="{00000000-0005-0000-0000-000079000000}"/>
    <cellStyle name="Input 3 6 7" xfId="1306" xr:uid="{00000000-0005-0000-0000-000079000000}"/>
    <cellStyle name="Input 3 6 8" xfId="1542" xr:uid="{00000000-0005-0000-0000-000079000000}"/>
    <cellStyle name="Input 3 6 9" xfId="1778" xr:uid="{00000000-0005-0000-0000-000079000000}"/>
    <cellStyle name="Input 3 7" xfId="122" xr:uid="{00000000-0005-0000-0000-00007B000000}"/>
    <cellStyle name="Input 3 7 10" xfId="2083" xr:uid="{00000000-0005-0000-0000-00007B000000}"/>
    <cellStyle name="Input 3 7 11" xfId="2348" xr:uid="{00000000-0005-0000-0000-00007B000000}"/>
    <cellStyle name="Input 3 7 12" xfId="2587" xr:uid="{00000000-0005-0000-0000-00007B000000}"/>
    <cellStyle name="Input 3 7 13" xfId="2724" xr:uid="{00000000-0005-0000-0000-00007B000000}"/>
    <cellStyle name="Input 3 7 14" xfId="3042" xr:uid="{00000000-0005-0000-0000-00007B000000}"/>
    <cellStyle name="Input 3 7 15" xfId="3206" xr:uid="{00000000-0005-0000-0000-00007B000000}"/>
    <cellStyle name="Input 3 7 16" xfId="3510" xr:uid="{00000000-0005-0000-0000-00007B000000}"/>
    <cellStyle name="Input 3 7 17" xfId="3785" xr:uid="{00000000-0005-0000-0000-00007B000000}"/>
    <cellStyle name="Input 3 7 18" xfId="4079" xr:uid="{00000000-0005-0000-0000-00007B000000}"/>
    <cellStyle name="Input 3 7 19" xfId="4234" xr:uid="{00000000-0005-0000-0000-00007B000000}"/>
    <cellStyle name="Input 3 7 2" xfId="243" xr:uid="{00000000-0005-0000-0000-00007C000000}"/>
    <cellStyle name="Input 3 7 2 10" xfId="2413" xr:uid="{00000000-0005-0000-0000-00007C000000}"/>
    <cellStyle name="Input 3 7 2 11" xfId="2651" xr:uid="{00000000-0005-0000-0000-00007C000000}"/>
    <cellStyle name="Input 3 7 2 12" xfId="2738" xr:uid="{00000000-0005-0000-0000-00007C000000}"/>
    <cellStyle name="Input 3 7 2 13" xfId="3163" xr:uid="{00000000-0005-0000-0000-00007C000000}"/>
    <cellStyle name="Input 3 7 2 14" xfId="3220" xr:uid="{00000000-0005-0000-0000-00007C000000}"/>
    <cellStyle name="Input 3 7 2 15" xfId="3631" xr:uid="{00000000-0005-0000-0000-00007C000000}"/>
    <cellStyle name="Input 3 7 2 16" xfId="3850" xr:uid="{00000000-0005-0000-0000-00007C000000}"/>
    <cellStyle name="Input 3 7 2 17" xfId="3932" xr:uid="{00000000-0005-0000-0000-00007C000000}"/>
    <cellStyle name="Input 3 7 2 18" xfId="4355" xr:uid="{00000000-0005-0000-0000-00007C000000}"/>
    <cellStyle name="Input 3 7 2 19" xfId="3855" xr:uid="{00000000-0005-0000-0000-00007C000000}"/>
    <cellStyle name="Input 3 7 2 2" xfId="523" xr:uid="{00000000-0005-0000-0000-00007C000000}"/>
    <cellStyle name="Input 3 7 2 20" xfId="4804" xr:uid="{00000000-0005-0000-0000-00007C000000}"/>
    <cellStyle name="Input 3 7 2 3" xfId="694" xr:uid="{00000000-0005-0000-0000-00007C000000}"/>
    <cellStyle name="Input 3 7 2 4" xfId="817" xr:uid="{00000000-0005-0000-0000-00007C000000}"/>
    <cellStyle name="Input 3 7 2 5" xfId="1215" xr:uid="{00000000-0005-0000-0000-00007C000000}"/>
    <cellStyle name="Input 3 7 2 6" xfId="1452" xr:uid="{00000000-0005-0000-0000-00007C000000}"/>
    <cellStyle name="Input 3 7 2 7" xfId="1688" xr:uid="{00000000-0005-0000-0000-00007C000000}"/>
    <cellStyle name="Input 3 7 2 8" xfId="1924" xr:uid="{00000000-0005-0000-0000-00007C000000}"/>
    <cellStyle name="Input 3 7 2 9" xfId="2204" xr:uid="{00000000-0005-0000-0000-00007C000000}"/>
    <cellStyle name="Input 3 7 20" xfId="4531" xr:uid="{00000000-0005-0000-0000-00007B000000}"/>
    <cellStyle name="Input 3 7 21" xfId="4684" xr:uid="{00000000-0005-0000-0000-00007B000000}"/>
    <cellStyle name="Input 3 7 3" xfId="402" xr:uid="{00000000-0005-0000-0000-00007B000000}"/>
    <cellStyle name="Input 3 7 4" xfId="744" xr:uid="{00000000-0005-0000-0000-00007B000000}"/>
    <cellStyle name="Input 3 7 5" xfId="804" xr:uid="{00000000-0005-0000-0000-00007B000000}"/>
    <cellStyle name="Input 3 7 6" xfId="1095" xr:uid="{00000000-0005-0000-0000-00007B000000}"/>
    <cellStyle name="Input 3 7 7" xfId="1332" xr:uid="{00000000-0005-0000-0000-00007B000000}"/>
    <cellStyle name="Input 3 7 8" xfId="1568" xr:uid="{00000000-0005-0000-0000-00007B000000}"/>
    <cellStyle name="Input 3 7 9" xfId="1804" xr:uid="{00000000-0005-0000-0000-00007B000000}"/>
    <cellStyle name="Input 3 8" xfId="130" xr:uid="{00000000-0005-0000-0000-00007D000000}"/>
    <cellStyle name="Input 3 8 10" xfId="2091" xr:uid="{00000000-0005-0000-0000-00007D000000}"/>
    <cellStyle name="Input 3 8 11" xfId="2437" xr:uid="{00000000-0005-0000-0000-00007D000000}"/>
    <cellStyle name="Input 3 8 12" xfId="2675" xr:uid="{00000000-0005-0000-0000-00007D000000}"/>
    <cellStyle name="Input 3 8 13" xfId="2758" xr:uid="{00000000-0005-0000-0000-00007D000000}"/>
    <cellStyle name="Input 3 8 14" xfId="3050" xr:uid="{00000000-0005-0000-0000-00007D000000}"/>
    <cellStyle name="Input 3 8 15" xfId="3238" xr:uid="{00000000-0005-0000-0000-00007D000000}"/>
    <cellStyle name="Input 3 8 16" xfId="3518" xr:uid="{00000000-0005-0000-0000-00007D000000}"/>
    <cellStyle name="Input 3 8 17" xfId="3874" xr:uid="{00000000-0005-0000-0000-00007D000000}"/>
    <cellStyle name="Input 3 8 18" xfId="4133" xr:uid="{00000000-0005-0000-0000-00007D000000}"/>
    <cellStyle name="Input 3 8 19" xfId="4242" xr:uid="{00000000-0005-0000-0000-00007D000000}"/>
    <cellStyle name="Input 3 8 2" xfId="251" xr:uid="{00000000-0005-0000-0000-00007E000000}"/>
    <cellStyle name="Input 3 8 2 10" xfId="1976" xr:uid="{00000000-0005-0000-0000-00007E000000}"/>
    <cellStyle name="Input 3 8 2 11" xfId="2371" xr:uid="{00000000-0005-0000-0000-00007E000000}"/>
    <cellStyle name="Input 3 8 2 12" xfId="2930" xr:uid="{00000000-0005-0000-0000-00007E000000}"/>
    <cellStyle name="Input 3 8 2 13" xfId="3171" xr:uid="{00000000-0005-0000-0000-00007E000000}"/>
    <cellStyle name="Input 3 8 2 14" xfId="3404" xr:uid="{00000000-0005-0000-0000-00007E000000}"/>
    <cellStyle name="Input 3 8 2 15" xfId="3639" xr:uid="{00000000-0005-0000-0000-00007E000000}"/>
    <cellStyle name="Input 3 8 2 16" xfId="3668" xr:uid="{00000000-0005-0000-0000-00007E000000}"/>
    <cellStyle name="Input 3 8 2 17" xfId="3933" xr:uid="{00000000-0005-0000-0000-00007E000000}"/>
    <cellStyle name="Input 3 8 2 18" xfId="4363" xr:uid="{00000000-0005-0000-0000-00007E000000}"/>
    <cellStyle name="Input 3 8 2 19" xfId="4526" xr:uid="{00000000-0005-0000-0000-00007E000000}"/>
    <cellStyle name="Input 3 8 2 2" xfId="531" xr:uid="{00000000-0005-0000-0000-00007E000000}"/>
    <cellStyle name="Input 3 8 2 20" xfId="4812" xr:uid="{00000000-0005-0000-0000-00007E000000}"/>
    <cellStyle name="Input 3 8 2 3" xfId="647" xr:uid="{00000000-0005-0000-0000-00007E000000}"/>
    <cellStyle name="Input 3 8 2 4" xfId="993" xr:uid="{00000000-0005-0000-0000-00007E000000}"/>
    <cellStyle name="Input 3 8 2 5" xfId="1223" xr:uid="{00000000-0005-0000-0000-00007E000000}"/>
    <cellStyle name="Input 3 8 2 6" xfId="1460" xr:uid="{00000000-0005-0000-0000-00007E000000}"/>
    <cellStyle name="Input 3 8 2 7" xfId="1696" xr:uid="{00000000-0005-0000-0000-00007E000000}"/>
    <cellStyle name="Input 3 8 2 8" xfId="1932" xr:uid="{00000000-0005-0000-0000-00007E000000}"/>
    <cellStyle name="Input 3 8 2 9" xfId="2212" xr:uid="{00000000-0005-0000-0000-00007E000000}"/>
    <cellStyle name="Input 3 8 20" xfId="4411" xr:uid="{00000000-0005-0000-0000-00007D000000}"/>
    <cellStyle name="Input 3 8 21" xfId="4692" xr:uid="{00000000-0005-0000-0000-00007D000000}"/>
    <cellStyle name="Input 3 8 3" xfId="410" xr:uid="{00000000-0005-0000-0000-00007D000000}"/>
    <cellStyle name="Input 3 8 4" xfId="699" xr:uid="{00000000-0005-0000-0000-00007D000000}"/>
    <cellStyle name="Input 3 8 5" xfId="834" xr:uid="{00000000-0005-0000-0000-00007D000000}"/>
    <cellStyle name="Input 3 8 6" xfId="1103" xr:uid="{00000000-0005-0000-0000-00007D000000}"/>
    <cellStyle name="Input 3 8 7" xfId="1340" xr:uid="{00000000-0005-0000-0000-00007D000000}"/>
    <cellStyle name="Input 3 8 8" xfId="1576" xr:uid="{00000000-0005-0000-0000-00007D000000}"/>
    <cellStyle name="Input 3 8 9" xfId="1812" xr:uid="{00000000-0005-0000-0000-00007D000000}"/>
    <cellStyle name="Input 3 9" xfId="137" xr:uid="{00000000-0005-0000-0000-00007F000000}"/>
    <cellStyle name="Input 3 9 10" xfId="2098" xr:uid="{00000000-0005-0000-0000-00007F000000}"/>
    <cellStyle name="Input 3 9 11" xfId="2317" xr:uid="{00000000-0005-0000-0000-00007F000000}"/>
    <cellStyle name="Input 3 9 12" xfId="2557" xr:uid="{00000000-0005-0000-0000-00007F000000}"/>
    <cellStyle name="Input 3 9 13" xfId="2854" xr:uid="{00000000-0005-0000-0000-00007F000000}"/>
    <cellStyle name="Input 3 9 14" xfId="3057" xr:uid="{00000000-0005-0000-0000-00007F000000}"/>
    <cellStyle name="Input 3 9 15" xfId="3330" xr:uid="{00000000-0005-0000-0000-00007F000000}"/>
    <cellStyle name="Input 3 9 16" xfId="3525" xr:uid="{00000000-0005-0000-0000-00007F000000}"/>
    <cellStyle name="Input 3 9 17" xfId="3755" xr:uid="{00000000-0005-0000-0000-00007F000000}"/>
    <cellStyle name="Input 3 9 18" xfId="3764" xr:uid="{00000000-0005-0000-0000-00007F000000}"/>
    <cellStyle name="Input 3 9 19" xfId="4249" xr:uid="{00000000-0005-0000-0000-00007F000000}"/>
    <cellStyle name="Input 3 9 2" xfId="258" xr:uid="{00000000-0005-0000-0000-000080000000}"/>
    <cellStyle name="Input 3 9 2 10" xfId="2249" xr:uid="{00000000-0005-0000-0000-000080000000}"/>
    <cellStyle name="Input 3 9 2 11" xfId="2489" xr:uid="{00000000-0005-0000-0000-000080000000}"/>
    <cellStyle name="Input 3 9 2 12" xfId="2457" xr:uid="{00000000-0005-0000-0000-000080000000}"/>
    <cellStyle name="Input 3 9 2 13" xfId="3178" xr:uid="{00000000-0005-0000-0000-000080000000}"/>
    <cellStyle name="Input 3 9 2 14" xfId="2835" xr:uid="{00000000-0005-0000-0000-000080000000}"/>
    <cellStyle name="Input 3 9 2 15" xfId="3646" xr:uid="{00000000-0005-0000-0000-000080000000}"/>
    <cellStyle name="Input 3 9 2 16" xfId="3689" xr:uid="{00000000-0005-0000-0000-000080000000}"/>
    <cellStyle name="Input 3 9 2 17" xfId="4144" xr:uid="{00000000-0005-0000-0000-000080000000}"/>
    <cellStyle name="Input 3 9 2 18" xfId="4370" xr:uid="{00000000-0005-0000-0000-000080000000}"/>
    <cellStyle name="Input 3 9 2 19" xfId="4524" xr:uid="{00000000-0005-0000-0000-000080000000}"/>
    <cellStyle name="Input 3 9 2 2" xfId="538" xr:uid="{00000000-0005-0000-0000-000080000000}"/>
    <cellStyle name="Input 3 9 2 20" xfId="4819" xr:uid="{00000000-0005-0000-0000-000080000000}"/>
    <cellStyle name="Input 3 9 2 3" xfId="301" xr:uid="{00000000-0005-0000-0000-000080000000}"/>
    <cellStyle name="Input 3 9 2 4" xfId="671" xr:uid="{00000000-0005-0000-0000-000080000000}"/>
    <cellStyle name="Input 3 9 2 5" xfId="1230" xr:uid="{00000000-0005-0000-0000-000080000000}"/>
    <cellStyle name="Input 3 9 2 6" xfId="1467" xr:uid="{00000000-0005-0000-0000-000080000000}"/>
    <cellStyle name="Input 3 9 2 7" xfId="1703" xr:uid="{00000000-0005-0000-0000-000080000000}"/>
    <cellStyle name="Input 3 9 2 8" xfId="1939" xr:uid="{00000000-0005-0000-0000-000080000000}"/>
    <cellStyle name="Input 3 9 2 9" xfId="2219" xr:uid="{00000000-0005-0000-0000-000080000000}"/>
    <cellStyle name="Input 3 9 20" xfId="4584" xr:uid="{00000000-0005-0000-0000-00007F000000}"/>
    <cellStyle name="Input 3 9 21" xfId="4699" xr:uid="{00000000-0005-0000-0000-00007F000000}"/>
    <cellStyle name="Input 3 9 3" xfId="417" xr:uid="{00000000-0005-0000-0000-00007F000000}"/>
    <cellStyle name="Input 3 9 4" xfId="745" xr:uid="{00000000-0005-0000-0000-00007F000000}"/>
    <cellStyle name="Input 3 9 5" xfId="924" xr:uid="{00000000-0005-0000-0000-00007F000000}"/>
    <cellStyle name="Input 3 9 6" xfId="1110" xr:uid="{00000000-0005-0000-0000-00007F000000}"/>
    <cellStyle name="Input 3 9 7" xfId="1347" xr:uid="{00000000-0005-0000-0000-00007F000000}"/>
    <cellStyle name="Input 3 9 8" xfId="1583" xr:uid="{00000000-0005-0000-0000-00007F000000}"/>
    <cellStyle name="Input 3 9 9" xfId="1819" xr:uid="{00000000-0005-0000-0000-00007F000000}"/>
    <cellStyle name="Linked Cell 2" xfId="28" xr:uid="{00000000-0005-0000-0000-000081000000}"/>
    <cellStyle name="Neutral 2" xfId="32" xr:uid="{00000000-0005-0000-0000-000082000000}"/>
    <cellStyle name="Normal" xfId="0" builtinId="0"/>
    <cellStyle name="Normal 2" xfId="1" xr:uid="{00000000-0005-0000-0000-000084000000}"/>
    <cellStyle name="Normal_Feuil1" xfId="33" xr:uid="{00000000-0005-0000-0000-000085000000}"/>
    <cellStyle name="Note 2" xfId="29" xr:uid="{00000000-0005-0000-0000-000086000000}"/>
    <cellStyle name="Note 2 10" xfId="101" xr:uid="{00000000-0005-0000-0000-000087000000}"/>
    <cellStyle name="Note 2 10 10" xfId="2062" xr:uid="{00000000-0005-0000-0000-000087000000}"/>
    <cellStyle name="Note 2 10 11" xfId="2342" xr:uid="{00000000-0005-0000-0000-000087000000}"/>
    <cellStyle name="Note 2 10 12" xfId="2581" xr:uid="{00000000-0005-0000-0000-000087000000}"/>
    <cellStyle name="Note 2 10 13" xfId="2925" xr:uid="{00000000-0005-0000-0000-000087000000}"/>
    <cellStyle name="Note 2 10 14" xfId="3021" xr:uid="{00000000-0005-0000-0000-000087000000}"/>
    <cellStyle name="Note 2 10 15" xfId="3400" xr:uid="{00000000-0005-0000-0000-000087000000}"/>
    <cellStyle name="Note 2 10 16" xfId="3489" xr:uid="{00000000-0005-0000-0000-000087000000}"/>
    <cellStyle name="Note 2 10 17" xfId="3779" xr:uid="{00000000-0005-0000-0000-000087000000}"/>
    <cellStyle name="Note 2 10 18" xfId="3972" xr:uid="{00000000-0005-0000-0000-000087000000}"/>
    <cellStyle name="Note 2 10 19" xfId="4213" xr:uid="{00000000-0005-0000-0000-000087000000}"/>
    <cellStyle name="Note 2 10 2" xfId="222" xr:uid="{00000000-0005-0000-0000-000088000000}"/>
    <cellStyle name="Note 2 10 2 10" xfId="2374" xr:uid="{00000000-0005-0000-0000-000088000000}"/>
    <cellStyle name="Note 2 10 2 11" xfId="2612" xr:uid="{00000000-0005-0000-0000-000088000000}"/>
    <cellStyle name="Note 2 10 2 12" xfId="2861" xr:uid="{00000000-0005-0000-0000-000088000000}"/>
    <cellStyle name="Note 2 10 2 13" xfId="3142" xr:uid="{00000000-0005-0000-0000-000088000000}"/>
    <cellStyle name="Note 2 10 2 14" xfId="3337" xr:uid="{00000000-0005-0000-0000-000088000000}"/>
    <cellStyle name="Note 2 10 2 15" xfId="3610" xr:uid="{00000000-0005-0000-0000-000088000000}"/>
    <cellStyle name="Note 2 10 2 16" xfId="3811" xr:uid="{00000000-0005-0000-0000-000088000000}"/>
    <cellStyle name="Note 2 10 2 17" xfId="3766" xr:uid="{00000000-0005-0000-0000-000088000000}"/>
    <cellStyle name="Note 2 10 2 18" xfId="4334" xr:uid="{00000000-0005-0000-0000-000088000000}"/>
    <cellStyle name="Note 2 10 2 19" xfId="4459" xr:uid="{00000000-0005-0000-0000-000088000000}"/>
    <cellStyle name="Note 2 10 2 2" xfId="502" xr:uid="{00000000-0005-0000-0000-000088000000}"/>
    <cellStyle name="Note 2 10 2 20" xfId="4783" xr:uid="{00000000-0005-0000-0000-000088000000}"/>
    <cellStyle name="Note 2 10 2 3" xfId="792" xr:uid="{00000000-0005-0000-0000-000088000000}"/>
    <cellStyle name="Note 2 10 2 4" xfId="930" xr:uid="{00000000-0005-0000-0000-000088000000}"/>
    <cellStyle name="Note 2 10 2 5" xfId="1194" xr:uid="{00000000-0005-0000-0000-000088000000}"/>
    <cellStyle name="Note 2 10 2 6" xfId="1431" xr:uid="{00000000-0005-0000-0000-000088000000}"/>
    <cellStyle name="Note 2 10 2 7" xfId="1667" xr:uid="{00000000-0005-0000-0000-000088000000}"/>
    <cellStyle name="Note 2 10 2 8" xfId="1903" xr:uid="{00000000-0005-0000-0000-000088000000}"/>
    <cellStyle name="Note 2 10 2 9" xfId="2183" xr:uid="{00000000-0005-0000-0000-000088000000}"/>
    <cellStyle name="Note 2 10 20" xfId="3952" xr:uid="{00000000-0005-0000-0000-000087000000}"/>
    <cellStyle name="Note 2 10 21" xfId="4663" xr:uid="{00000000-0005-0000-0000-000087000000}"/>
    <cellStyle name="Note 2 10 3" xfId="381" xr:uid="{00000000-0005-0000-0000-000087000000}"/>
    <cellStyle name="Note 2 10 4" xfId="641" xr:uid="{00000000-0005-0000-0000-000087000000}"/>
    <cellStyle name="Note 2 10 5" xfId="990" xr:uid="{00000000-0005-0000-0000-000087000000}"/>
    <cellStyle name="Note 2 10 6" xfId="1074" xr:uid="{00000000-0005-0000-0000-000087000000}"/>
    <cellStyle name="Note 2 10 7" xfId="1311" xr:uid="{00000000-0005-0000-0000-000087000000}"/>
    <cellStyle name="Note 2 10 8" xfId="1547" xr:uid="{00000000-0005-0000-0000-000087000000}"/>
    <cellStyle name="Note 2 10 9" xfId="1783" xr:uid="{00000000-0005-0000-0000-000087000000}"/>
    <cellStyle name="Note 2 11" xfId="109" xr:uid="{00000000-0005-0000-0000-000089000000}"/>
    <cellStyle name="Note 2 11 10" xfId="2070" xr:uid="{00000000-0005-0000-0000-000089000000}"/>
    <cellStyle name="Note 2 11 11" xfId="1969" xr:uid="{00000000-0005-0000-0000-000089000000}"/>
    <cellStyle name="Note 2 11 12" xfId="1968" xr:uid="{00000000-0005-0000-0000-000089000000}"/>
    <cellStyle name="Note 2 11 13" xfId="2880" xr:uid="{00000000-0005-0000-0000-000089000000}"/>
    <cellStyle name="Note 2 11 14" xfId="3029" xr:uid="{00000000-0005-0000-0000-000089000000}"/>
    <cellStyle name="Note 2 11 15" xfId="3356" xr:uid="{00000000-0005-0000-0000-000089000000}"/>
    <cellStyle name="Note 2 11 16" xfId="3497" xr:uid="{00000000-0005-0000-0000-000089000000}"/>
    <cellStyle name="Note 2 11 17" xfId="3675" xr:uid="{00000000-0005-0000-0000-000089000000}"/>
    <cellStyle name="Note 2 11 18" xfId="4061" xr:uid="{00000000-0005-0000-0000-000089000000}"/>
    <cellStyle name="Note 2 11 19" xfId="4221" xr:uid="{00000000-0005-0000-0000-000089000000}"/>
    <cellStyle name="Note 2 11 2" xfId="230" xr:uid="{00000000-0005-0000-0000-00008A000000}"/>
    <cellStyle name="Note 2 11 2 10" xfId="2431" xr:uid="{00000000-0005-0000-0000-00008A000000}"/>
    <cellStyle name="Note 2 11 2 11" xfId="2669" xr:uid="{00000000-0005-0000-0000-00008A000000}"/>
    <cellStyle name="Note 2 11 2 12" xfId="2819" xr:uid="{00000000-0005-0000-0000-00008A000000}"/>
    <cellStyle name="Note 2 11 2 13" xfId="3150" xr:uid="{00000000-0005-0000-0000-00008A000000}"/>
    <cellStyle name="Note 2 11 2 14" xfId="3295" xr:uid="{00000000-0005-0000-0000-00008A000000}"/>
    <cellStyle name="Note 2 11 2 15" xfId="3618" xr:uid="{00000000-0005-0000-0000-00008A000000}"/>
    <cellStyle name="Note 2 11 2 16" xfId="3868" xr:uid="{00000000-0005-0000-0000-00008A000000}"/>
    <cellStyle name="Note 2 11 2 17" xfId="4100" xr:uid="{00000000-0005-0000-0000-00008A000000}"/>
    <cellStyle name="Note 2 11 2 18" xfId="4342" xr:uid="{00000000-0005-0000-0000-00008A000000}"/>
    <cellStyle name="Note 2 11 2 19" xfId="4600" xr:uid="{00000000-0005-0000-0000-00008A000000}"/>
    <cellStyle name="Note 2 11 2 2" xfId="510" xr:uid="{00000000-0005-0000-0000-00008A000000}"/>
    <cellStyle name="Note 2 11 2 20" xfId="4791" xr:uid="{00000000-0005-0000-0000-00008A000000}"/>
    <cellStyle name="Note 2 11 2 3" xfId="639" xr:uid="{00000000-0005-0000-0000-00008A000000}"/>
    <cellStyle name="Note 2 11 2 4" xfId="893" xr:uid="{00000000-0005-0000-0000-00008A000000}"/>
    <cellStyle name="Note 2 11 2 5" xfId="1202" xr:uid="{00000000-0005-0000-0000-00008A000000}"/>
    <cellStyle name="Note 2 11 2 6" xfId="1439" xr:uid="{00000000-0005-0000-0000-00008A000000}"/>
    <cellStyle name="Note 2 11 2 7" xfId="1675" xr:uid="{00000000-0005-0000-0000-00008A000000}"/>
    <cellStyle name="Note 2 11 2 8" xfId="1911" xr:uid="{00000000-0005-0000-0000-00008A000000}"/>
    <cellStyle name="Note 2 11 2 9" xfId="2191" xr:uid="{00000000-0005-0000-0000-00008A000000}"/>
    <cellStyle name="Note 2 11 20" xfId="4557" xr:uid="{00000000-0005-0000-0000-000089000000}"/>
    <cellStyle name="Note 2 11 21" xfId="4671" xr:uid="{00000000-0005-0000-0000-000089000000}"/>
    <cellStyle name="Note 2 11 3" xfId="389" xr:uid="{00000000-0005-0000-0000-000089000000}"/>
    <cellStyle name="Note 2 11 4" xfId="593" xr:uid="{00000000-0005-0000-0000-000089000000}"/>
    <cellStyle name="Note 2 11 5" xfId="949" xr:uid="{00000000-0005-0000-0000-000089000000}"/>
    <cellStyle name="Note 2 11 6" xfId="1082" xr:uid="{00000000-0005-0000-0000-000089000000}"/>
    <cellStyle name="Note 2 11 7" xfId="1319" xr:uid="{00000000-0005-0000-0000-000089000000}"/>
    <cellStyle name="Note 2 11 8" xfId="1555" xr:uid="{00000000-0005-0000-0000-000089000000}"/>
    <cellStyle name="Note 2 11 9" xfId="1791" xr:uid="{00000000-0005-0000-0000-000089000000}"/>
    <cellStyle name="Note 2 12" xfId="106" xr:uid="{00000000-0005-0000-0000-00008B000000}"/>
    <cellStyle name="Note 2 12 10" xfId="2067" xr:uid="{00000000-0005-0000-0000-00008B000000}"/>
    <cellStyle name="Note 2 12 11" xfId="2318" xr:uid="{00000000-0005-0000-0000-00008B000000}"/>
    <cellStyle name="Note 2 12 12" xfId="2558" xr:uid="{00000000-0005-0000-0000-00008B000000}"/>
    <cellStyle name="Note 2 12 13" xfId="2773" xr:uid="{00000000-0005-0000-0000-00008B000000}"/>
    <cellStyle name="Note 2 12 14" xfId="3026" xr:uid="{00000000-0005-0000-0000-00008B000000}"/>
    <cellStyle name="Note 2 12 15" xfId="3253" xr:uid="{00000000-0005-0000-0000-00008B000000}"/>
    <cellStyle name="Note 2 12 16" xfId="3494" xr:uid="{00000000-0005-0000-0000-00008B000000}"/>
    <cellStyle name="Note 2 12 17" xfId="3756" xr:uid="{00000000-0005-0000-0000-00008B000000}"/>
    <cellStyle name="Note 2 12 18" xfId="4006" xr:uid="{00000000-0005-0000-0000-00008B000000}"/>
    <cellStyle name="Note 2 12 19" xfId="4218" xr:uid="{00000000-0005-0000-0000-00008B000000}"/>
    <cellStyle name="Note 2 12 2" xfId="227" xr:uid="{00000000-0005-0000-0000-00008C000000}"/>
    <cellStyle name="Note 2 12 2 10" xfId="1997" xr:uid="{00000000-0005-0000-0000-00008C000000}"/>
    <cellStyle name="Note 2 12 2 11" xfId="2392" xr:uid="{00000000-0005-0000-0000-00008C000000}"/>
    <cellStyle name="Note 2 12 2 12" xfId="2943" xr:uid="{00000000-0005-0000-0000-00008C000000}"/>
    <cellStyle name="Note 2 12 2 13" xfId="3147" xr:uid="{00000000-0005-0000-0000-00008C000000}"/>
    <cellStyle name="Note 2 12 2 14" xfId="3418" xr:uid="{00000000-0005-0000-0000-00008C000000}"/>
    <cellStyle name="Note 2 12 2 15" xfId="3615" xr:uid="{00000000-0005-0000-0000-00008C000000}"/>
    <cellStyle name="Note 2 12 2 16" xfId="3306" xr:uid="{00000000-0005-0000-0000-00008C000000}"/>
    <cellStyle name="Note 2 12 2 17" xfId="4090" xr:uid="{00000000-0005-0000-0000-00008C000000}"/>
    <cellStyle name="Note 2 12 2 18" xfId="4339" xr:uid="{00000000-0005-0000-0000-00008C000000}"/>
    <cellStyle name="Note 2 12 2 19" xfId="4088" xr:uid="{00000000-0005-0000-0000-00008C000000}"/>
    <cellStyle name="Note 2 12 2 2" xfId="507" xr:uid="{00000000-0005-0000-0000-00008C000000}"/>
    <cellStyle name="Note 2 12 2 20" xfId="4788" xr:uid="{00000000-0005-0000-0000-00008C000000}"/>
    <cellStyle name="Note 2 12 2 3" xfId="661" xr:uid="{00000000-0005-0000-0000-00008C000000}"/>
    <cellStyle name="Note 2 12 2 4" xfId="1005" xr:uid="{00000000-0005-0000-0000-00008C000000}"/>
    <cellStyle name="Note 2 12 2 5" xfId="1199" xr:uid="{00000000-0005-0000-0000-00008C000000}"/>
    <cellStyle name="Note 2 12 2 6" xfId="1436" xr:uid="{00000000-0005-0000-0000-00008C000000}"/>
    <cellStyle name="Note 2 12 2 7" xfId="1672" xr:uid="{00000000-0005-0000-0000-00008C000000}"/>
    <cellStyle name="Note 2 12 2 8" xfId="1908" xr:uid="{00000000-0005-0000-0000-00008C000000}"/>
    <cellStyle name="Note 2 12 2 9" xfId="2188" xr:uid="{00000000-0005-0000-0000-00008C000000}"/>
    <cellStyle name="Note 2 12 20" xfId="4527" xr:uid="{00000000-0005-0000-0000-00008B000000}"/>
    <cellStyle name="Note 2 12 21" xfId="4668" xr:uid="{00000000-0005-0000-0000-00008B000000}"/>
    <cellStyle name="Note 2 12 3" xfId="386" xr:uid="{00000000-0005-0000-0000-00008B000000}"/>
    <cellStyle name="Note 2 12 4" xfId="722" xr:uid="{00000000-0005-0000-0000-00008B000000}"/>
    <cellStyle name="Note 2 12 5" xfId="849" xr:uid="{00000000-0005-0000-0000-00008B000000}"/>
    <cellStyle name="Note 2 12 6" xfId="1079" xr:uid="{00000000-0005-0000-0000-00008B000000}"/>
    <cellStyle name="Note 2 12 7" xfId="1316" xr:uid="{00000000-0005-0000-0000-00008B000000}"/>
    <cellStyle name="Note 2 12 8" xfId="1552" xr:uid="{00000000-0005-0000-0000-00008B000000}"/>
    <cellStyle name="Note 2 12 9" xfId="1788" xr:uid="{00000000-0005-0000-0000-00008B000000}"/>
    <cellStyle name="Note 2 13" xfId="161" xr:uid="{00000000-0005-0000-0000-00008D000000}"/>
    <cellStyle name="Note 2 13 10" xfId="2259" xr:uid="{00000000-0005-0000-0000-00008D000000}"/>
    <cellStyle name="Note 2 13 11" xfId="2499" xr:uid="{00000000-0005-0000-0000-00008D000000}"/>
    <cellStyle name="Note 2 13 12" xfId="2769" xr:uid="{00000000-0005-0000-0000-00008D000000}"/>
    <cellStyle name="Note 2 13 13" xfId="3081" xr:uid="{00000000-0005-0000-0000-00008D000000}"/>
    <cellStyle name="Note 2 13 14" xfId="3249" xr:uid="{00000000-0005-0000-0000-00008D000000}"/>
    <cellStyle name="Note 2 13 15" xfId="3549" xr:uid="{00000000-0005-0000-0000-00008D000000}"/>
    <cellStyle name="Note 2 13 16" xfId="3698" xr:uid="{00000000-0005-0000-0000-00008D000000}"/>
    <cellStyle name="Note 2 13 17" xfId="3980" xr:uid="{00000000-0005-0000-0000-00008D000000}"/>
    <cellStyle name="Note 2 13 18" xfId="4273" xr:uid="{00000000-0005-0000-0000-00008D000000}"/>
    <cellStyle name="Note 2 13 19" xfId="4403" xr:uid="{00000000-0005-0000-0000-00008D000000}"/>
    <cellStyle name="Note 2 13 2" xfId="441" xr:uid="{00000000-0005-0000-0000-00008D000000}"/>
    <cellStyle name="Note 2 13 20" xfId="4722" xr:uid="{00000000-0005-0000-0000-00008D000000}"/>
    <cellStyle name="Note 2 13 3" xfId="713" xr:uid="{00000000-0005-0000-0000-00008D000000}"/>
    <cellStyle name="Note 2 13 4" xfId="845" xr:uid="{00000000-0005-0000-0000-00008D000000}"/>
    <cellStyle name="Note 2 13 5" xfId="1133" xr:uid="{00000000-0005-0000-0000-00008D000000}"/>
    <cellStyle name="Note 2 13 6" xfId="1370" xr:uid="{00000000-0005-0000-0000-00008D000000}"/>
    <cellStyle name="Note 2 13 7" xfId="1606" xr:uid="{00000000-0005-0000-0000-00008D000000}"/>
    <cellStyle name="Note 2 13 8" xfId="1842" xr:uid="{00000000-0005-0000-0000-00008D000000}"/>
    <cellStyle name="Note 2 13 9" xfId="2122" xr:uid="{00000000-0005-0000-0000-00008D000000}"/>
    <cellStyle name="Note 2 14" xfId="309" xr:uid="{00000000-0005-0000-0000-000086000000}"/>
    <cellStyle name="Note 2 15" xfId="613" xr:uid="{00000000-0005-0000-0000-000086000000}"/>
    <cellStyle name="Note 2 16" xfId="980" xr:uid="{00000000-0005-0000-0000-000086000000}"/>
    <cellStyle name="Note 2 17" xfId="942" xr:uid="{00000000-0005-0000-0000-000086000000}"/>
    <cellStyle name="Note 2 18" xfId="836" xr:uid="{00000000-0005-0000-0000-000086000000}"/>
    <cellStyle name="Note 2 19" xfId="878" xr:uid="{00000000-0005-0000-0000-000086000000}"/>
    <cellStyle name="Note 2 2" xfId="56" xr:uid="{00000000-0005-0000-0000-00008E000000}"/>
    <cellStyle name="Note 2 2 10" xfId="2017" xr:uid="{00000000-0005-0000-0000-00008E000000}"/>
    <cellStyle name="Note 2 2 11" xfId="2436" xr:uid="{00000000-0005-0000-0000-00008E000000}"/>
    <cellStyle name="Note 2 2 12" xfId="2674" xr:uid="{00000000-0005-0000-0000-00008E000000}"/>
    <cellStyle name="Note 2 2 13" xfId="2801" xr:uid="{00000000-0005-0000-0000-00008E000000}"/>
    <cellStyle name="Note 2 2 14" xfId="2976" xr:uid="{00000000-0005-0000-0000-00008E000000}"/>
    <cellStyle name="Note 2 2 15" xfId="3280" xr:uid="{00000000-0005-0000-0000-00008E000000}"/>
    <cellStyle name="Note 2 2 16" xfId="3444" xr:uid="{00000000-0005-0000-0000-00008E000000}"/>
    <cellStyle name="Note 2 2 17" xfId="3873" xr:uid="{00000000-0005-0000-0000-00008E000000}"/>
    <cellStyle name="Note 2 2 18" xfId="4081" xr:uid="{00000000-0005-0000-0000-00008E000000}"/>
    <cellStyle name="Note 2 2 19" xfId="4168" xr:uid="{00000000-0005-0000-0000-00008E000000}"/>
    <cellStyle name="Note 2 2 2" xfId="177" xr:uid="{00000000-0005-0000-0000-00008F000000}"/>
    <cellStyle name="Note 2 2 2 10" xfId="2477" xr:uid="{00000000-0005-0000-0000-00008F000000}"/>
    <cellStyle name="Note 2 2 2 11" xfId="2715" xr:uid="{00000000-0005-0000-0000-00008F000000}"/>
    <cellStyle name="Note 2 2 2 12" xfId="2794" xr:uid="{00000000-0005-0000-0000-00008F000000}"/>
    <cellStyle name="Note 2 2 2 13" xfId="3097" xr:uid="{00000000-0005-0000-0000-00008F000000}"/>
    <cellStyle name="Note 2 2 2 14" xfId="3273" xr:uid="{00000000-0005-0000-0000-00008F000000}"/>
    <cellStyle name="Note 2 2 2 15" xfId="3565" xr:uid="{00000000-0005-0000-0000-00008F000000}"/>
    <cellStyle name="Note 2 2 2 16" xfId="3914" xr:uid="{00000000-0005-0000-0000-00008F000000}"/>
    <cellStyle name="Note 2 2 2 17" xfId="4000" xr:uid="{00000000-0005-0000-0000-00008F000000}"/>
    <cellStyle name="Note 2 2 2 18" xfId="4289" xr:uid="{00000000-0005-0000-0000-00008F000000}"/>
    <cellStyle name="Note 2 2 2 19" xfId="4012" xr:uid="{00000000-0005-0000-0000-00008F000000}"/>
    <cellStyle name="Note 2 2 2 2" xfId="457" xr:uid="{00000000-0005-0000-0000-00008F000000}"/>
    <cellStyle name="Note 2 2 2 20" xfId="4738" xr:uid="{00000000-0005-0000-0000-00008F000000}"/>
    <cellStyle name="Note 2 2 2 3" xfId="750" xr:uid="{00000000-0005-0000-0000-00008F000000}"/>
    <cellStyle name="Note 2 2 2 4" xfId="870" xr:uid="{00000000-0005-0000-0000-00008F000000}"/>
    <cellStyle name="Note 2 2 2 5" xfId="1149" xr:uid="{00000000-0005-0000-0000-00008F000000}"/>
    <cellStyle name="Note 2 2 2 6" xfId="1386" xr:uid="{00000000-0005-0000-0000-00008F000000}"/>
    <cellStyle name="Note 2 2 2 7" xfId="1622" xr:uid="{00000000-0005-0000-0000-00008F000000}"/>
    <cellStyle name="Note 2 2 2 8" xfId="1858" xr:uid="{00000000-0005-0000-0000-00008F000000}"/>
    <cellStyle name="Note 2 2 2 9" xfId="2138" xr:uid="{00000000-0005-0000-0000-00008F000000}"/>
    <cellStyle name="Note 2 2 20" xfId="4093" xr:uid="{00000000-0005-0000-0000-00008E000000}"/>
    <cellStyle name="Note 2 2 21" xfId="4618" xr:uid="{00000000-0005-0000-0000-00008E000000}"/>
    <cellStyle name="Note 2 2 3" xfId="336" xr:uid="{00000000-0005-0000-0000-00008E000000}"/>
    <cellStyle name="Note 2 2 4" xfId="730" xr:uid="{00000000-0005-0000-0000-00008E000000}"/>
    <cellStyle name="Note 2 2 5" xfId="877" xr:uid="{00000000-0005-0000-0000-00008E000000}"/>
    <cellStyle name="Note 2 2 6" xfId="1029" xr:uid="{00000000-0005-0000-0000-00008E000000}"/>
    <cellStyle name="Note 2 2 7" xfId="1266" xr:uid="{00000000-0005-0000-0000-00008E000000}"/>
    <cellStyle name="Note 2 2 8" xfId="1502" xr:uid="{00000000-0005-0000-0000-00008E000000}"/>
    <cellStyle name="Note 2 2 9" xfId="1738" xr:uid="{00000000-0005-0000-0000-00008E000000}"/>
    <cellStyle name="Note 2 20" xfId="847" xr:uid="{00000000-0005-0000-0000-000086000000}"/>
    <cellStyle name="Note 2 21" xfId="1990" xr:uid="{00000000-0005-0000-0000-000086000000}"/>
    <cellStyle name="Note 2 22" xfId="2278" xr:uid="{00000000-0005-0000-0000-000086000000}"/>
    <cellStyle name="Note 2 23" xfId="2518" xr:uid="{00000000-0005-0000-0000-000086000000}"/>
    <cellStyle name="Note 2 24" xfId="2914" xr:uid="{00000000-0005-0000-0000-000086000000}"/>
    <cellStyle name="Note 2 25" xfId="2894" xr:uid="{00000000-0005-0000-0000-000086000000}"/>
    <cellStyle name="Note 2 26" xfId="3390" xr:uid="{00000000-0005-0000-0000-000086000000}"/>
    <cellStyle name="Note 2 27" xfId="3349" xr:uid="{00000000-0005-0000-0000-000086000000}"/>
    <cellStyle name="Note 2 28" xfId="3717" xr:uid="{00000000-0005-0000-0000-000086000000}"/>
    <cellStyle name="Note 2 29" xfId="3950" xr:uid="{00000000-0005-0000-0000-000086000000}"/>
    <cellStyle name="Note 2 3" xfId="50" xr:uid="{00000000-0005-0000-0000-000090000000}"/>
    <cellStyle name="Note 2 3 10" xfId="2011" xr:uid="{00000000-0005-0000-0000-000090000000}"/>
    <cellStyle name="Note 2 3 11" xfId="2241" xr:uid="{00000000-0005-0000-0000-000090000000}"/>
    <cellStyle name="Note 2 3 12" xfId="2340" xr:uid="{00000000-0005-0000-0000-000090000000}"/>
    <cellStyle name="Note 2 3 13" xfId="2954" xr:uid="{00000000-0005-0000-0000-000090000000}"/>
    <cellStyle name="Note 2 3 14" xfId="2970" xr:uid="{00000000-0005-0000-0000-000090000000}"/>
    <cellStyle name="Note 2 3 15" xfId="3429" xr:uid="{00000000-0005-0000-0000-000090000000}"/>
    <cellStyle name="Note 2 3 16" xfId="3438" xr:uid="{00000000-0005-0000-0000-000090000000}"/>
    <cellStyle name="Note 2 3 17" xfId="3359" xr:uid="{00000000-0005-0000-0000-000090000000}"/>
    <cellStyle name="Note 2 3 18" xfId="4035" xr:uid="{00000000-0005-0000-0000-000090000000}"/>
    <cellStyle name="Note 2 3 19" xfId="4162" xr:uid="{00000000-0005-0000-0000-000090000000}"/>
    <cellStyle name="Note 2 3 2" xfId="171" xr:uid="{00000000-0005-0000-0000-000091000000}"/>
    <cellStyle name="Note 2 3 2 10" xfId="1999" xr:uid="{00000000-0005-0000-0000-000091000000}"/>
    <cellStyle name="Note 2 3 2 11" xfId="2352" xr:uid="{00000000-0005-0000-0000-000091000000}"/>
    <cellStyle name="Note 2 3 2 12" xfId="2945" xr:uid="{00000000-0005-0000-0000-000091000000}"/>
    <cellStyle name="Note 2 3 2 13" xfId="3091" xr:uid="{00000000-0005-0000-0000-000091000000}"/>
    <cellStyle name="Note 2 3 2 14" xfId="3420" xr:uid="{00000000-0005-0000-0000-000091000000}"/>
    <cellStyle name="Note 2 3 2 15" xfId="3559" xr:uid="{00000000-0005-0000-0000-000091000000}"/>
    <cellStyle name="Note 2 3 2 16" xfId="3403" xr:uid="{00000000-0005-0000-0000-000091000000}"/>
    <cellStyle name="Note 2 3 2 17" xfId="3921" xr:uid="{00000000-0005-0000-0000-000091000000}"/>
    <cellStyle name="Note 2 3 2 18" xfId="4283" xr:uid="{00000000-0005-0000-0000-000091000000}"/>
    <cellStyle name="Note 2 3 2 19" xfId="4483" xr:uid="{00000000-0005-0000-0000-000091000000}"/>
    <cellStyle name="Note 2 3 2 2" xfId="451" xr:uid="{00000000-0005-0000-0000-000091000000}"/>
    <cellStyle name="Note 2 3 2 20" xfId="4732" xr:uid="{00000000-0005-0000-0000-000091000000}"/>
    <cellStyle name="Note 2 3 2 3" xfId="663" xr:uid="{00000000-0005-0000-0000-000091000000}"/>
    <cellStyle name="Note 2 3 2 4" xfId="1007" xr:uid="{00000000-0005-0000-0000-000091000000}"/>
    <cellStyle name="Note 2 3 2 5" xfId="1143" xr:uid="{00000000-0005-0000-0000-000091000000}"/>
    <cellStyle name="Note 2 3 2 6" xfId="1380" xr:uid="{00000000-0005-0000-0000-000091000000}"/>
    <cellStyle name="Note 2 3 2 7" xfId="1616" xr:uid="{00000000-0005-0000-0000-000091000000}"/>
    <cellStyle name="Note 2 3 2 8" xfId="1852" xr:uid="{00000000-0005-0000-0000-000091000000}"/>
    <cellStyle name="Note 2 3 2 9" xfId="2132" xr:uid="{00000000-0005-0000-0000-000091000000}"/>
    <cellStyle name="Note 2 3 20" xfId="4544" xr:uid="{00000000-0005-0000-0000-000090000000}"/>
    <cellStyle name="Note 2 3 21" xfId="4612" xr:uid="{00000000-0005-0000-0000-000090000000}"/>
    <cellStyle name="Note 2 3 3" xfId="330" xr:uid="{00000000-0005-0000-0000-000090000000}"/>
    <cellStyle name="Note 2 3 4" xfId="770" xr:uid="{00000000-0005-0000-0000-000090000000}"/>
    <cellStyle name="Note 2 3 5" xfId="1014" xr:uid="{00000000-0005-0000-0000-000090000000}"/>
    <cellStyle name="Note 2 3 6" xfId="1023" xr:uid="{00000000-0005-0000-0000-000090000000}"/>
    <cellStyle name="Note 2 3 7" xfId="1260" xr:uid="{00000000-0005-0000-0000-000090000000}"/>
    <cellStyle name="Note 2 3 8" xfId="1496" xr:uid="{00000000-0005-0000-0000-000090000000}"/>
    <cellStyle name="Note 2 3 9" xfId="1732" xr:uid="{00000000-0005-0000-0000-000090000000}"/>
    <cellStyle name="Note 2 30" xfId="3886" xr:uid="{00000000-0005-0000-0000-000086000000}"/>
    <cellStyle name="Note 2 31" xfId="4446" xr:uid="{00000000-0005-0000-0000-000086000000}"/>
    <cellStyle name="Note 2 32" xfId="4475" xr:uid="{00000000-0005-0000-0000-000086000000}"/>
    <cellStyle name="Note 2 4" xfId="60" xr:uid="{00000000-0005-0000-0000-000092000000}"/>
    <cellStyle name="Note 2 4 10" xfId="2021" xr:uid="{00000000-0005-0000-0000-000092000000}"/>
    <cellStyle name="Note 2 4 11" xfId="2364" xr:uid="{00000000-0005-0000-0000-000092000000}"/>
    <cellStyle name="Note 2 4 12" xfId="2603" xr:uid="{00000000-0005-0000-0000-000092000000}"/>
    <cellStyle name="Note 2 4 13" xfId="2770" xr:uid="{00000000-0005-0000-0000-000092000000}"/>
    <cellStyle name="Note 2 4 14" xfId="2980" xr:uid="{00000000-0005-0000-0000-000092000000}"/>
    <cellStyle name="Note 2 4 15" xfId="3250" xr:uid="{00000000-0005-0000-0000-000092000000}"/>
    <cellStyle name="Note 2 4 16" xfId="3448" xr:uid="{00000000-0005-0000-0000-000092000000}"/>
    <cellStyle name="Note 2 4 17" xfId="3801" xr:uid="{00000000-0005-0000-0000-000092000000}"/>
    <cellStyle name="Note 2 4 18" xfId="3947" xr:uid="{00000000-0005-0000-0000-000092000000}"/>
    <cellStyle name="Note 2 4 19" xfId="4172" xr:uid="{00000000-0005-0000-0000-000092000000}"/>
    <cellStyle name="Note 2 4 2" xfId="181" xr:uid="{00000000-0005-0000-0000-000093000000}"/>
    <cellStyle name="Note 2 4 2 10" xfId="2395" xr:uid="{00000000-0005-0000-0000-000093000000}"/>
    <cellStyle name="Note 2 4 2 11" xfId="2633" xr:uid="{00000000-0005-0000-0000-000093000000}"/>
    <cellStyle name="Note 2 4 2 12" xfId="2789" xr:uid="{00000000-0005-0000-0000-000093000000}"/>
    <cellStyle name="Note 2 4 2 13" xfId="3101" xr:uid="{00000000-0005-0000-0000-000093000000}"/>
    <cellStyle name="Note 2 4 2 14" xfId="3268" xr:uid="{00000000-0005-0000-0000-000093000000}"/>
    <cellStyle name="Note 2 4 2 15" xfId="3569" xr:uid="{00000000-0005-0000-0000-000093000000}"/>
    <cellStyle name="Note 2 4 2 16" xfId="3832" xr:uid="{00000000-0005-0000-0000-000093000000}"/>
    <cellStyle name="Note 2 4 2 17" xfId="4005" xr:uid="{00000000-0005-0000-0000-000093000000}"/>
    <cellStyle name="Note 2 4 2 18" xfId="4293" xr:uid="{00000000-0005-0000-0000-000093000000}"/>
    <cellStyle name="Note 2 4 2 19" xfId="4521" xr:uid="{00000000-0005-0000-0000-000093000000}"/>
    <cellStyle name="Note 2 4 2 2" xfId="461" xr:uid="{00000000-0005-0000-0000-000093000000}"/>
    <cellStyle name="Note 2 4 2 20" xfId="4742" xr:uid="{00000000-0005-0000-0000-000093000000}"/>
    <cellStyle name="Note 2 4 2 3" xfId="691" xr:uid="{00000000-0005-0000-0000-000093000000}"/>
    <cellStyle name="Note 2 4 2 4" xfId="865" xr:uid="{00000000-0005-0000-0000-000093000000}"/>
    <cellStyle name="Note 2 4 2 5" xfId="1153" xr:uid="{00000000-0005-0000-0000-000093000000}"/>
    <cellStyle name="Note 2 4 2 6" xfId="1390" xr:uid="{00000000-0005-0000-0000-000093000000}"/>
    <cellStyle name="Note 2 4 2 7" xfId="1626" xr:uid="{00000000-0005-0000-0000-000093000000}"/>
    <cellStyle name="Note 2 4 2 8" xfId="1862" xr:uid="{00000000-0005-0000-0000-000093000000}"/>
    <cellStyle name="Note 2 4 2 9" xfId="2142" xr:uid="{00000000-0005-0000-0000-000093000000}"/>
    <cellStyle name="Note 2 4 20" xfId="4554" xr:uid="{00000000-0005-0000-0000-000092000000}"/>
    <cellStyle name="Note 2 4 21" xfId="4622" xr:uid="{00000000-0005-0000-0000-000092000000}"/>
    <cellStyle name="Note 2 4 3" xfId="340" xr:uid="{00000000-0005-0000-0000-000092000000}"/>
    <cellStyle name="Note 2 4 4" xfId="714" xr:uid="{00000000-0005-0000-0000-000092000000}"/>
    <cellStyle name="Note 2 4 5" xfId="846" xr:uid="{00000000-0005-0000-0000-000092000000}"/>
    <cellStyle name="Note 2 4 6" xfId="1033" xr:uid="{00000000-0005-0000-0000-000092000000}"/>
    <cellStyle name="Note 2 4 7" xfId="1270" xr:uid="{00000000-0005-0000-0000-000092000000}"/>
    <cellStyle name="Note 2 4 8" xfId="1506" xr:uid="{00000000-0005-0000-0000-000092000000}"/>
    <cellStyle name="Note 2 4 9" xfId="1742" xr:uid="{00000000-0005-0000-0000-000092000000}"/>
    <cellStyle name="Note 2 5" xfId="53" xr:uid="{00000000-0005-0000-0000-000094000000}"/>
    <cellStyle name="Note 2 5 10" xfId="2014" xr:uid="{00000000-0005-0000-0000-000094000000}"/>
    <cellStyle name="Note 2 5 11" xfId="2335" xr:uid="{00000000-0005-0000-0000-000094000000}"/>
    <cellStyle name="Note 2 5 12" xfId="2575" xr:uid="{00000000-0005-0000-0000-000094000000}"/>
    <cellStyle name="Note 2 5 13" xfId="2927" xr:uid="{00000000-0005-0000-0000-000094000000}"/>
    <cellStyle name="Note 2 5 14" xfId="2973" xr:uid="{00000000-0005-0000-0000-000094000000}"/>
    <cellStyle name="Note 2 5 15" xfId="3402" xr:uid="{00000000-0005-0000-0000-000094000000}"/>
    <cellStyle name="Note 2 5 16" xfId="3441" xr:uid="{00000000-0005-0000-0000-000094000000}"/>
    <cellStyle name="Note 2 5 17" xfId="3773" xr:uid="{00000000-0005-0000-0000-000094000000}"/>
    <cellStyle name="Note 2 5 18" xfId="3968" xr:uid="{00000000-0005-0000-0000-000094000000}"/>
    <cellStyle name="Note 2 5 19" xfId="4165" xr:uid="{00000000-0005-0000-0000-000094000000}"/>
    <cellStyle name="Note 2 5 2" xfId="174" xr:uid="{00000000-0005-0000-0000-000095000000}"/>
    <cellStyle name="Note 2 5 2 10" xfId="2423" xr:uid="{00000000-0005-0000-0000-000095000000}"/>
    <cellStyle name="Note 2 5 2 11" xfId="2661" xr:uid="{00000000-0005-0000-0000-000095000000}"/>
    <cellStyle name="Note 2 5 2 12" xfId="2821" xr:uid="{00000000-0005-0000-0000-000095000000}"/>
    <cellStyle name="Note 2 5 2 13" xfId="3094" xr:uid="{00000000-0005-0000-0000-000095000000}"/>
    <cellStyle name="Note 2 5 2 14" xfId="3297" xr:uid="{00000000-0005-0000-0000-000095000000}"/>
    <cellStyle name="Note 2 5 2 15" xfId="3562" xr:uid="{00000000-0005-0000-0000-000095000000}"/>
    <cellStyle name="Note 2 5 2 16" xfId="3860" xr:uid="{00000000-0005-0000-0000-000095000000}"/>
    <cellStyle name="Note 2 5 2 17" xfId="4045" xr:uid="{00000000-0005-0000-0000-000095000000}"/>
    <cellStyle name="Note 2 5 2 18" xfId="4286" xr:uid="{00000000-0005-0000-0000-000095000000}"/>
    <cellStyle name="Note 2 5 2 19" xfId="4427" xr:uid="{00000000-0005-0000-0000-000095000000}"/>
    <cellStyle name="Note 2 5 2 2" xfId="454" xr:uid="{00000000-0005-0000-0000-000095000000}"/>
    <cellStyle name="Note 2 5 2 20" xfId="4735" xr:uid="{00000000-0005-0000-0000-000095000000}"/>
    <cellStyle name="Note 2 5 2 3" xfId="636" xr:uid="{00000000-0005-0000-0000-000095000000}"/>
    <cellStyle name="Note 2 5 2 4" xfId="895" xr:uid="{00000000-0005-0000-0000-000095000000}"/>
    <cellStyle name="Note 2 5 2 5" xfId="1146" xr:uid="{00000000-0005-0000-0000-000095000000}"/>
    <cellStyle name="Note 2 5 2 6" xfId="1383" xr:uid="{00000000-0005-0000-0000-000095000000}"/>
    <cellStyle name="Note 2 5 2 7" xfId="1619" xr:uid="{00000000-0005-0000-0000-000095000000}"/>
    <cellStyle name="Note 2 5 2 8" xfId="1855" xr:uid="{00000000-0005-0000-0000-000095000000}"/>
    <cellStyle name="Note 2 5 2 9" xfId="2135" xr:uid="{00000000-0005-0000-0000-000095000000}"/>
    <cellStyle name="Note 2 5 20" xfId="4423" xr:uid="{00000000-0005-0000-0000-000094000000}"/>
    <cellStyle name="Note 2 5 21" xfId="4615" xr:uid="{00000000-0005-0000-0000-000094000000}"/>
    <cellStyle name="Note 2 5 3" xfId="333" xr:uid="{00000000-0005-0000-0000-000094000000}"/>
    <cellStyle name="Note 2 5 4" xfId="643" xr:uid="{00000000-0005-0000-0000-000094000000}"/>
    <cellStyle name="Note 2 5 5" xfId="992" xr:uid="{00000000-0005-0000-0000-000094000000}"/>
    <cellStyle name="Note 2 5 6" xfId="1026" xr:uid="{00000000-0005-0000-0000-000094000000}"/>
    <cellStyle name="Note 2 5 7" xfId="1263" xr:uid="{00000000-0005-0000-0000-000094000000}"/>
    <cellStyle name="Note 2 5 8" xfId="1499" xr:uid="{00000000-0005-0000-0000-000094000000}"/>
    <cellStyle name="Note 2 5 9" xfId="1735" xr:uid="{00000000-0005-0000-0000-000094000000}"/>
    <cellStyle name="Note 2 6" xfId="79" xr:uid="{00000000-0005-0000-0000-000096000000}"/>
    <cellStyle name="Note 2 6 10" xfId="2040" xr:uid="{00000000-0005-0000-0000-000096000000}"/>
    <cellStyle name="Note 2 6 11" xfId="2430" xr:uid="{00000000-0005-0000-0000-000096000000}"/>
    <cellStyle name="Note 2 6 12" xfId="2668" xr:uid="{00000000-0005-0000-0000-000096000000}"/>
    <cellStyle name="Note 2 6 13" xfId="2911" xr:uid="{00000000-0005-0000-0000-000096000000}"/>
    <cellStyle name="Note 2 6 14" xfId="2999" xr:uid="{00000000-0005-0000-0000-000096000000}"/>
    <cellStyle name="Note 2 6 15" xfId="3387" xr:uid="{00000000-0005-0000-0000-000096000000}"/>
    <cellStyle name="Note 2 6 16" xfId="3467" xr:uid="{00000000-0005-0000-0000-000096000000}"/>
    <cellStyle name="Note 2 6 17" xfId="3867" xr:uid="{00000000-0005-0000-0000-000096000000}"/>
    <cellStyle name="Note 2 6 18" xfId="3670" xr:uid="{00000000-0005-0000-0000-000096000000}"/>
    <cellStyle name="Note 2 6 19" xfId="4191" xr:uid="{00000000-0005-0000-0000-000096000000}"/>
    <cellStyle name="Note 2 6 2" xfId="200" xr:uid="{00000000-0005-0000-0000-000097000000}"/>
    <cellStyle name="Note 2 6 2 10" xfId="2365" xr:uid="{00000000-0005-0000-0000-000097000000}"/>
    <cellStyle name="Note 2 6 2 11" xfId="2604" xr:uid="{00000000-0005-0000-0000-000097000000}"/>
    <cellStyle name="Note 2 6 2 12" xfId="2720" xr:uid="{00000000-0005-0000-0000-000097000000}"/>
    <cellStyle name="Note 2 6 2 13" xfId="3120" xr:uid="{00000000-0005-0000-0000-000097000000}"/>
    <cellStyle name="Note 2 6 2 14" xfId="3202" xr:uid="{00000000-0005-0000-0000-000097000000}"/>
    <cellStyle name="Note 2 6 2 15" xfId="3588" xr:uid="{00000000-0005-0000-0000-000097000000}"/>
    <cellStyle name="Note 2 6 2 16" xfId="3802" xr:uid="{00000000-0005-0000-0000-000097000000}"/>
    <cellStyle name="Note 2 6 2 17" xfId="4104" xr:uid="{00000000-0005-0000-0000-000097000000}"/>
    <cellStyle name="Note 2 6 2 18" xfId="4312" xr:uid="{00000000-0005-0000-0000-000097000000}"/>
    <cellStyle name="Note 2 6 2 19" xfId="4460" xr:uid="{00000000-0005-0000-0000-000097000000}"/>
    <cellStyle name="Note 2 6 2 2" xfId="480" xr:uid="{00000000-0005-0000-0000-000097000000}"/>
    <cellStyle name="Note 2 6 2 20" xfId="4761" xr:uid="{00000000-0005-0000-0000-000097000000}"/>
    <cellStyle name="Note 2 6 2 3" xfId="285" xr:uid="{00000000-0005-0000-0000-000097000000}"/>
    <cellStyle name="Note 2 6 2 4" xfId="800" xr:uid="{00000000-0005-0000-0000-000097000000}"/>
    <cellStyle name="Note 2 6 2 5" xfId="1172" xr:uid="{00000000-0005-0000-0000-000097000000}"/>
    <cellStyle name="Note 2 6 2 6" xfId="1409" xr:uid="{00000000-0005-0000-0000-000097000000}"/>
    <cellStyle name="Note 2 6 2 7" xfId="1645" xr:uid="{00000000-0005-0000-0000-000097000000}"/>
    <cellStyle name="Note 2 6 2 8" xfId="1881" xr:uid="{00000000-0005-0000-0000-000097000000}"/>
    <cellStyle name="Note 2 6 2 9" xfId="2161" xr:uid="{00000000-0005-0000-0000-000097000000}"/>
    <cellStyle name="Note 2 6 20" xfId="4470" xr:uid="{00000000-0005-0000-0000-000096000000}"/>
    <cellStyle name="Note 2 6 21" xfId="4641" xr:uid="{00000000-0005-0000-0000-000096000000}"/>
    <cellStyle name="Note 2 6 3" xfId="359" xr:uid="{00000000-0005-0000-0000-000096000000}"/>
    <cellStyle name="Note 2 6 4" xfId="590" xr:uid="{00000000-0005-0000-0000-000096000000}"/>
    <cellStyle name="Note 2 6 5" xfId="977" xr:uid="{00000000-0005-0000-0000-000096000000}"/>
    <cellStyle name="Note 2 6 6" xfId="1052" xr:uid="{00000000-0005-0000-0000-000096000000}"/>
    <cellStyle name="Note 2 6 7" xfId="1289" xr:uid="{00000000-0005-0000-0000-000096000000}"/>
    <cellStyle name="Note 2 6 8" xfId="1525" xr:uid="{00000000-0005-0000-0000-000096000000}"/>
    <cellStyle name="Note 2 6 9" xfId="1761" xr:uid="{00000000-0005-0000-0000-000096000000}"/>
    <cellStyle name="Note 2 7" xfId="110" xr:uid="{00000000-0005-0000-0000-000098000000}"/>
    <cellStyle name="Note 2 7 10" xfId="2071" xr:uid="{00000000-0005-0000-0000-000098000000}"/>
    <cellStyle name="Note 2 7 11" xfId="2391" xr:uid="{00000000-0005-0000-0000-000098000000}"/>
    <cellStyle name="Note 2 7 12" xfId="2629" xr:uid="{00000000-0005-0000-0000-000098000000}"/>
    <cellStyle name="Note 2 7 13" xfId="2762" xr:uid="{00000000-0005-0000-0000-000098000000}"/>
    <cellStyle name="Note 2 7 14" xfId="3030" xr:uid="{00000000-0005-0000-0000-000098000000}"/>
    <cellStyle name="Note 2 7 15" xfId="3242" xr:uid="{00000000-0005-0000-0000-000098000000}"/>
    <cellStyle name="Note 2 7 16" xfId="3498" xr:uid="{00000000-0005-0000-0000-000098000000}"/>
    <cellStyle name="Note 2 7 17" xfId="3828" xr:uid="{00000000-0005-0000-0000-000098000000}"/>
    <cellStyle name="Note 2 7 18" xfId="4095" xr:uid="{00000000-0005-0000-0000-000098000000}"/>
    <cellStyle name="Note 2 7 19" xfId="4222" xr:uid="{00000000-0005-0000-0000-000098000000}"/>
    <cellStyle name="Note 2 7 2" xfId="231" xr:uid="{00000000-0005-0000-0000-000099000000}"/>
    <cellStyle name="Note 2 7 2 10" xfId="2469" xr:uid="{00000000-0005-0000-0000-000099000000}"/>
    <cellStyle name="Note 2 7 2 11" xfId="2707" xr:uid="{00000000-0005-0000-0000-000099000000}"/>
    <cellStyle name="Note 2 7 2 12" xfId="2723" xr:uid="{00000000-0005-0000-0000-000099000000}"/>
    <cellStyle name="Note 2 7 2 13" xfId="3151" xr:uid="{00000000-0005-0000-0000-000099000000}"/>
    <cellStyle name="Note 2 7 2 14" xfId="3205" xr:uid="{00000000-0005-0000-0000-000099000000}"/>
    <cellStyle name="Note 2 7 2 15" xfId="3619" xr:uid="{00000000-0005-0000-0000-000099000000}"/>
    <cellStyle name="Note 2 7 2 16" xfId="3906" xr:uid="{00000000-0005-0000-0000-000099000000}"/>
    <cellStyle name="Note 2 7 2 17" xfId="3954" xr:uid="{00000000-0005-0000-0000-000099000000}"/>
    <cellStyle name="Note 2 7 2 18" xfId="4343" xr:uid="{00000000-0005-0000-0000-000099000000}"/>
    <cellStyle name="Note 2 7 2 19" xfId="4499" xr:uid="{00000000-0005-0000-0000-000099000000}"/>
    <cellStyle name="Note 2 7 2 2" xfId="511" xr:uid="{00000000-0005-0000-0000-000099000000}"/>
    <cellStyle name="Note 2 7 2 20" xfId="4792" xr:uid="{00000000-0005-0000-0000-000099000000}"/>
    <cellStyle name="Note 2 7 2 3" xfId="746" xr:uid="{00000000-0005-0000-0000-000099000000}"/>
    <cellStyle name="Note 2 7 2 4" xfId="803" xr:uid="{00000000-0005-0000-0000-000099000000}"/>
    <cellStyle name="Note 2 7 2 5" xfId="1203" xr:uid="{00000000-0005-0000-0000-000099000000}"/>
    <cellStyle name="Note 2 7 2 6" xfId="1440" xr:uid="{00000000-0005-0000-0000-000099000000}"/>
    <cellStyle name="Note 2 7 2 7" xfId="1676" xr:uid="{00000000-0005-0000-0000-000099000000}"/>
    <cellStyle name="Note 2 7 2 8" xfId="1912" xr:uid="{00000000-0005-0000-0000-000099000000}"/>
    <cellStyle name="Note 2 7 2 9" xfId="2192" xr:uid="{00000000-0005-0000-0000-000099000000}"/>
    <cellStyle name="Note 2 7 20" xfId="4080" xr:uid="{00000000-0005-0000-0000-000098000000}"/>
    <cellStyle name="Note 2 7 21" xfId="4672" xr:uid="{00000000-0005-0000-0000-000098000000}"/>
    <cellStyle name="Note 2 7 3" xfId="390" xr:uid="{00000000-0005-0000-0000-000098000000}"/>
    <cellStyle name="Note 2 7 4" xfId="703" xr:uid="{00000000-0005-0000-0000-000098000000}"/>
    <cellStyle name="Note 2 7 5" xfId="838" xr:uid="{00000000-0005-0000-0000-000098000000}"/>
    <cellStyle name="Note 2 7 6" xfId="1083" xr:uid="{00000000-0005-0000-0000-000098000000}"/>
    <cellStyle name="Note 2 7 7" xfId="1320" xr:uid="{00000000-0005-0000-0000-000098000000}"/>
    <cellStyle name="Note 2 7 8" xfId="1556" xr:uid="{00000000-0005-0000-0000-000098000000}"/>
    <cellStyle name="Note 2 7 9" xfId="1792" xr:uid="{00000000-0005-0000-0000-000098000000}"/>
    <cellStyle name="Note 2 8" xfId="105" xr:uid="{00000000-0005-0000-0000-00009A000000}"/>
    <cellStyle name="Note 2 8 10" xfId="2066" xr:uid="{00000000-0005-0000-0000-00009A000000}"/>
    <cellStyle name="Note 2 8 11" xfId="2410" xr:uid="{00000000-0005-0000-0000-00009A000000}"/>
    <cellStyle name="Note 2 8 12" xfId="2648" xr:uid="{00000000-0005-0000-0000-00009A000000}"/>
    <cellStyle name="Note 2 8 13" xfId="2891" xr:uid="{00000000-0005-0000-0000-00009A000000}"/>
    <cellStyle name="Note 2 8 14" xfId="3025" xr:uid="{00000000-0005-0000-0000-00009A000000}"/>
    <cellStyle name="Note 2 8 15" xfId="3367" xr:uid="{00000000-0005-0000-0000-00009A000000}"/>
    <cellStyle name="Note 2 8 16" xfId="3493" xr:uid="{00000000-0005-0000-0000-00009A000000}"/>
    <cellStyle name="Note 2 8 17" xfId="3847" xr:uid="{00000000-0005-0000-0000-00009A000000}"/>
    <cellStyle name="Note 2 8 18" xfId="4043" xr:uid="{00000000-0005-0000-0000-00009A000000}"/>
    <cellStyle name="Note 2 8 19" xfId="4217" xr:uid="{00000000-0005-0000-0000-00009A000000}"/>
    <cellStyle name="Note 2 8 2" xfId="226" xr:uid="{00000000-0005-0000-0000-00009B000000}"/>
    <cellStyle name="Note 2 8 2 10" xfId="2452" xr:uid="{00000000-0005-0000-0000-00009B000000}"/>
    <cellStyle name="Note 2 8 2 11" xfId="2690" xr:uid="{00000000-0005-0000-0000-00009B000000}"/>
    <cellStyle name="Note 2 8 2 12" xfId="2831" xr:uid="{00000000-0005-0000-0000-00009B000000}"/>
    <cellStyle name="Note 2 8 2 13" xfId="3146" xr:uid="{00000000-0005-0000-0000-00009B000000}"/>
    <cellStyle name="Note 2 8 2 14" xfId="3307" xr:uid="{00000000-0005-0000-0000-00009B000000}"/>
    <cellStyle name="Note 2 8 2 15" xfId="3614" xr:uid="{00000000-0005-0000-0000-00009B000000}"/>
    <cellStyle name="Note 2 8 2 16" xfId="3889" xr:uid="{00000000-0005-0000-0000-00009B000000}"/>
    <cellStyle name="Note 2 8 2 17" xfId="3808" xr:uid="{00000000-0005-0000-0000-00009B000000}"/>
    <cellStyle name="Note 2 8 2 18" xfId="4338" xr:uid="{00000000-0005-0000-0000-00009B000000}"/>
    <cellStyle name="Note 2 8 2 19" xfId="4010" xr:uid="{00000000-0005-0000-0000-00009B000000}"/>
    <cellStyle name="Note 2 8 2 2" xfId="506" xr:uid="{00000000-0005-0000-0000-00009B000000}"/>
    <cellStyle name="Note 2 8 2 20" xfId="4787" xr:uid="{00000000-0005-0000-0000-00009B000000}"/>
    <cellStyle name="Note 2 8 2 3" xfId="780" xr:uid="{00000000-0005-0000-0000-00009B000000}"/>
    <cellStyle name="Note 2 8 2 4" xfId="903" xr:uid="{00000000-0005-0000-0000-00009B000000}"/>
    <cellStyle name="Note 2 8 2 5" xfId="1198" xr:uid="{00000000-0005-0000-0000-00009B000000}"/>
    <cellStyle name="Note 2 8 2 6" xfId="1435" xr:uid="{00000000-0005-0000-0000-00009B000000}"/>
    <cellStyle name="Note 2 8 2 7" xfId="1671" xr:uid="{00000000-0005-0000-0000-00009B000000}"/>
    <cellStyle name="Note 2 8 2 8" xfId="1907" xr:uid="{00000000-0005-0000-0000-00009B000000}"/>
    <cellStyle name="Note 2 8 2 9" xfId="2187" xr:uid="{00000000-0005-0000-0000-00009B000000}"/>
    <cellStyle name="Note 2 8 20" xfId="4450" xr:uid="{00000000-0005-0000-0000-00009A000000}"/>
    <cellStyle name="Note 2 8 21" xfId="4667" xr:uid="{00000000-0005-0000-0000-00009A000000}"/>
    <cellStyle name="Note 2 8 3" xfId="385" xr:uid="{00000000-0005-0000-0000-00009A000000}"/>
    <cellStyle name="Note 2 8 4" xfId="609" xr:uid="{00000000-0005-0000-0000-00009A000000}"/>
    <cellStyle name="Note 2 8 5" xfId="957" xr:uid="{00000000-0005-0000-0000-00009A000000}"/>
    <cellStyle name="Note 2 8 6" xfId="1078" xr:uid="{00000000-0005-0000-0000-00009A000000}"/>
    <cellStyle name="Note 2 8 7" xfId="1315" xr:uid="{00000000-0005-0000-0000-00009A000000}"/>
    <cellStyle name="Note 2 8 8" xfId="1551" xr:uid="{00000000-0005-0000-0000-00009A000000}"/>
    <cellStyle name="Note 2 8 9" xfId="1787" xr:uid="{00000000-0005-0000-0000-00009A000000}"/>
    <cellStyle name="Note 2 9" xfId="114" xr:uid="{00000000-0005-0000-0000-00009C000000}"/>
    <cellStyle name="Note 2 9 10" xfId="2075" xr:uid="{00000000-0005-0000-0000-00009C000000}"/>
    <cellStyle name="Note 2 9 11" xfId="2276" xr:uid="{00000000-0005-0000-0000-00009C000000}"/>
    <cellStyle name="Note 2 9 12" xfId="2516" xr:uid="{00000000-0005-0000-0000-00009C000000}"/>
    <cellStyle name="Note 2 9 13" xfId="2743" xr:uid="{00000000-0005-0000-0000-00009C000000}"/>
    <cellStyle name="Note 2 9 14" xfId="3034" xr:uid="{00000000-0005-0000-0000-00009C000000}"/>
    <cellStyle name="Note 2 9 15" xfId="3225" xr:uid="{00000000-0005-0000-0000-00009C000000}"/>
    <cellStyle name="Note 2 9 16" xfId="3502" xr:uid="{00000000-0005-0000-0000-00009C000000}"/>
    <cellStyle name="Note 2 9 17" xfId="3715" xr:uid="{00000000-0005-0000-0000-00009C000000}"/>
    <cellStyle name="Note 2 9 18" xfId="3996" xr:uid="{00000000-0005-0000-0000-00009C000000}"/>
    <cellStyle name="Note 2 9 19" xfId="4226" xr:uid="{00000000-0005-0000-0000-00009C000000}"/>
    <cellStyle name="Note 2 9 2" xfId="235" xr:uid="{00000000-0005-0000-0000-00009D000000}"/>
    <cellStyle name="Note 2 9 2 10" xfId="2411" xr:uid="{00000000-0005-0000-0000-00009D000000}"/>
    <cellStyle name="Note 2 9 2 11" xfId="2649" xr:uid="{00000000-0005-0000-0000-00009D000000}"/>
    <cellStyle name="Note 2 9 2 12" xfId="2785" xr:uid="{00000000-0005-0000-0000-00009D000000}"/>
    <cellStyle name="Note 2 9 2 13" xfId="3155" xr:uid="{00000000-0005-0000-0000-00009D000000}"/>
    <cellStyle name="Note 2 9 2 14" xfId="3264" xr:uid="{00000000-0005-0000-0000-00009D000000}"/>
    <cellStyle name="Note 2 9 2 15" xfId="3623" xr:uid="{00000000-0005-0000-0000-00009D000000}"/>
    <cellStyle name="Note 2 9 2 16" xfId="3848" xr:uid="{00000000-0005-0000-0000-00009D000000}"/>
    <cellStyle name="Note 2 9 2 17" xfId="4132" xr:uid="{00000000-0005-0000-0000-00009D000000}"/>
    <cellStyle name="Note 2 9 2 18" xfId="4347" xr:uid="{00000000-0005-0000-0000-00009D000000}"/>
    <cellStyle name="Note 2 9 2 19" xfId="4591" xr:uid="{00000000-0005-0000-0000-00009D000000}"/>
    <cellStyle name="Note 2 9 2 2" xfId="515" xr:uid="{00000000-0005-0000-0000-00009D000000}"/>
    <cellStyle name="Note 2 9 2 20" xfId="4796" xr:uid="{00000000-0005-0000-0000-00009D000000}"/>
    <cellStyle name="Note 2 9 2 3" xfId="716" xr:uid="{00000000-0005-0000-0000-00009D000000}"/>
    <cellStyle name="Note 2 9 2 4" xfId="861" xr:uid="{00000000-0005-0000-0000-00009D000000}"/>
    <cellStyle name="Note 2 9 2 5" xfId="1207" xr:uid="{00000000-0005-0000-0000-00009D000000}"/>
    <cellStyle name="Note 2 9 2 6" xfId="1444" xr:uid="{00000000-0005-0000-0000-00009D000000}"/>
    <cellStyle name="Note 2 9 2 7" xfId="1680" xr:uid="{00000000-0005-0000-0000-00009D000000}"/>
    <cellStyle name="Note 2 9 2 8" xfId="1916" xr:uid="{00000000-0005-0000-0000-00009D000000}"/>
    <cellStyle name="Note 2 9 2 9" xfId="2196" xr:uid="{00000000-0005-0000-0000-00009D000000}"/>
    <cellStyle name="Note 2 9 20" xfId="4545" xr:uid="{00000000-0005-0000-0000-00009C000000}"/>
    <cellStyle name="Note 2 9 21" xfId="4676" xr:uid="{00000000-0005-0000-0000-00009C000000}"/>
    <cellStyle name="Note 2 9 3" xfId="394" xr:uid="{00000000-0005-0000-0000-00009C000000}"/>
    <cellStyle name="Note 2 9 4" xfId="674" xr:uid="{00000000-0005-0000-0000-00009C000000}"/>
    <cellStyle name="Note 2 9 5" xfId="821" xr:uid="{00000000-0005-0000-0000-00009C000000}"/>
    <cellStyle name="Note 2 9 6" xfId="1087" xr:uid="{00000000-0005-0000-0000-00009C000000}"/>
    <cellStyle name="Note 2 9 7" xfId="1324" xr:uid="{00000000-0005-0000-0000-00009C000000}"/>
    <cellStyle name="Note 2 9 8" xfId="1560" xr:uid="{00000000-0005-0000-0000-00009C000000}"/>
    <cellStyle name="Note 2 9 9" xfId="1796" xr:uid="{00000000-0005-0000-0000-00009C000000}"/>
    <cellStyle name="Note 3" xfId="45" xr:uid="{00000000-0005-0000-0000-00009E000000}"/>
    <cellStyle name="Note 3 10" xfId="143" xr:uid="{00000000-0005-0000-0000-00009F000000}"/>
    <cellStyle name="Note 3 10 10" xfId="2104" xr:uid="{00000000-0005-0000-0000-00009F000000}"/>
    <cellStyle name="Note 3 10 11" xfId="2405" xr:uid="{00000000-0005-0000-0000-00009F000000}"/>
    <cellStyle name="Note 3 10 12" xfId="2643" xr:uid="{00000000-0005-0000-0000-00009F000000}"/>
    <cellStyle name="Note 3 10 13" xfId="2787" xr:uid="{00000000-0005-0000-0000-00009F000000}"/>
    <cellStyle name="Note 3 10 14" xfId="3063" xr:uid="{00000000-0005-0000-0000-00009F000000}"/>
    <cellStyle name="Note 3 10 15" xfId="3266" xr:uid="{00000000-0005-0000-0000-00009F000000}"/>
    <cellStyle name="Note 3 10 16" xfId="3531" xr:uid="{00000000-0005-0000-0000-00009F000000}"/>
    <cellStyle name="Note 3 10 17" xfId="3842" xr:uid="{00000000-0005-0000-0000-00009F000000}"/>
    <cellStyle name="Note 3 10 18" xfId="3965" xr:uid="{00000000-0005-0000-0000-00009F000000}"/>
    <cellStyle name="Note 3 10 19" xfId="4255" xr:uid="{00000000-0005-0000-0000-00009F000000}"/>
    <cellStyle name="Note 3 10 2" xfId="264" xr:uid="{00000000-0005-0000-0000-0000A0000000}"/>
    <cellStyle name="Note 3 10 2 10" xfId="2480" xr:uid="{00000000-0005-0000-0000-0000A0000000}"/>
    <cellStyle name="Note 3 10 2 11" xfId="2718" xr:uid="{00000000-0005-0000-0000-0000A0000000}"/>
    <cellStyle name="Note 3 10 2 12" xfId="2483" xr:uid="{00000000-0005-0000-0000-0000A0000000}"/>
    <cellStyle name="Note 3 10 2 13" xfId="3184" xr:uid="{00000000-0005-0000-0000-0000A0000000}"/>
    <cellStyle name="Note 3 10 2 14" xfId="2873" xr:uid="{00000000-0005-0000-0000-0000A0000000}"/>
    <cellStyle name="Note 3 10 2 15" xfId="3652" xr:uid="{00000000-0005-0000-0000-0000A0000000}"/>
    <cellStyle name="Note 3 10 2 16" xfId="3917" xr:uid="{00000000-0005-0000-0000-0000A0000000}"/>
    <cellStyle name="Note 3 10 2 17" xfId="4123" xr:uid="{00000000-0005-0000-0000-0000A0000000}"/>
    <cellStyle name="Note 3 10 2 18" xfId="4376" xr:uid="{00000000-0005-0000-0000-0000A0000000}"/>
    <cellStyle name="Note 3 10 2 19" xfId="4505" xr:uid="{00000000-0005-0000-0000-0000A0000000}"/>
    <cellStyle name="Note 3 10 2 2" xfId="544" xr:uid="{00000000-0005-0000-0000-0000A0000000}"/>
    <cellStyle name="Note 3 10 2 20" xfId="4825" xr:uid="{00000000-0005-0000-0000-0000A0000000}"/>
    <cellStyle name="Note 3 10 2 3" xfId="323" xr:uid="{00000000-0005-0000-0000-0000A0000000}"/>
    <cellStyle name="Note 3 10 2 4" xfId="765" xr:uid="{00000000-0005-0000-0000-0000A0000000}"/>
    <cellStyle name="Note 3 10 2 5" xfId="1236" xr:uid="{00000000-0005-0000-0000-0000A0000000}"/>
    <cellStyle name="Note 3 10 2 6" xfId="1473" xr:uid="{00000000-0005-0000-0000-0000A0000000}"/>
    <cellStyle name="Note 3 10 2 7" xfId="1709" xr:uid="{00000000-0005-0000-0000-0000A0000000}"/>
    <cellStyle name="Note 3 10 2 8" xfId="1945" xr:uid="{00000000-0005-0000-0000-0000A0000000}"/>
    <cellStyle name="Note 3 10 2 9" xfId="2225" xr:uid="{00000000-0005-0000-0000-0000A0000000}"/>
    <cellStyle name="Note 3 10 20" xfId="4082" xr:uid="{00000000-0005-0000-0000-00009F000000}"/>
    <cellStyle name="Note 3 10 21" xfId="4705" xr:uid="{00000000-0005-0000-0000-00009F000000}"/>
    <cellStyle name="Note 3 10 3" xfId="423" xr:uid="{00000000-0005-0000-0000-00009F000000}"/>
    <cellStyle name="Note 3 10 4" xfId="294" xr:uid="{00000000-0005-0000-0000-00009F000000}"/>
    <cellStyle name="Note 3 10 5" xfId="863" xr:uid="{00000000-0005-0000-0000-00009F000000}"/>
    <cellStyle name="Note 3 10 6" xfId="1116" xr:uid="{00000000-0005-0000-0000-00009F000000}"/>
    <cellStyle name="Note 3 10 7" xfId="1353" xr:uid="{00000000-0005-0000-0000-00009F000000}"/>
    <cellStyle name="Note 3 10 8" xfId="1589" xr:uid="{00000000-0005-0000-0000-00009F000000}"/>
    <cellStyle name="Note 3 10 9" xfId="1825" xr:uid="{00000000-0005-0000-0000-00009F000000}"/>
    <cellStyle name="Note 3 11" xfId="149" xr:uid="{00000000-0005-0000-0000-0000A1000000}"/>
    <cellStyle name="Note 3 11 10" xfId="2110" xr:uid="{00000000-0005-0000-0000-0000A1000000}"/>
    <cellStyle name="Note 3 11 11" xfId="1977" xr:uid="{00000000-0005-0000-0000-0000A1000000}"/>
    <cellStyle name="Note 3 11 12" xfId="2369" xr:uid="{00000000-0005-0000-0000-0000A1000000}"/>
    <cellStyle name="Note 3 11 13" xfId="2620" xr:uid="{00000000-0005-0000-0000-0000A1000000}"/>
    <cellStyle name="Note 3 11 14" xfId="3069" xr:uid="{00000000-0005-0000-0000-0000A1000000}"/>
    <cellStyle name="Note 3 11 15" xfId="2957" xr:uid="{00000000-0005-0000-0000-0000A1000000}"/>
    <cellStyle name="Note 3 11 16" xfId="3537" xr:uid="{00000000-0005-0000-0000-0000A1000000}"/>
    <cellStyle name="Note 3 11 17" xfId="2928" xr:uid="{00000000-0005-0000-0000-0000A1000000}"/>
    <cellStyle name="Note 3 11 18" xfId="4053" xr:uid="{00000000-0005-0000-0000-0000A1000000}"/>
    <cellStyle name="Note 3 11 19" xfId="4261" xr:uid="{00000000-0005-0000-0000-0000A1000000}"/>
    <cellStyle name="Note 3 11 2" xfId="270" xr:uid="{00000000-0005-0000-0000-0000A2000000}"/>
    <cellStyle name="Note 3 11 2 10" xfId="2287" xr:uid="{00000000-0005-0000-0000-0000A2000000}"/>
    <cellStyle name="Note 3 11 2 11" xfId="2527" xr:uid="{00000000-0005-0000-0000-0000A2000000}"/>
    <cellStyle name="Note 3 11 2 12" xfId="2628" xr:uid="{00000000-0005-0000-0000-0000A2000000}"/>
    <cellStyle name="Note 3 11 2 13" xfId="3190" xr:uid="{00000000-0005-0000-0000-0000A2000000}"/>
    <cellStyle name="Note 3 11 2 14" xfId="2956" xr:uid="{00000000-0005-0000-0000-0000A2000000}"/>
    <cellStyle name="Note 3 11 2 15" xfId="3658" xr:uid="{00000000-0005-0000-0000-0000A2000000}"/>
    <cellStyle name="Note 3 11 2 16" xfId="3726" xr:uid="{00000000-0005-0000-0000-0000A2000000}"/>
    <cellStyle name="Note 3 11 2 17" xfId="3977" xr:uid="{00000000-0005-0000-0000-0000A2000000}"/>
    <cellStyle name="Note 3 11 2 18" xfId="4382" xr:uid="{00000000-0005-0000-0000-0000A2000000}"/>
    <cellStyle name="Note 3 11 2 19" xfId="4514" xr:uid="{00000000-0005-0000-0000-0000A2000000}"/>
    <cellStyle name="Note 3 11 2 2" xfId="550" xr:uid="{00000000-0005-0000-0000-0000A2000000}"/>
    <cellStyle name="Note 3 11 2 20" xfId="4831" xr:uid="{00000000-0005-0000-0000-0000A2000000}"/>
    <cellStyle name="Note 3 11 2 3" xfId="320" xr:uid="{00000000-0005-0000-0000-0000A2000000}"/>
    <cellStyle name="Note 3 11 2 4" xfId="710" xr:uid="{00000000-0005-0000-0000-0000A2000000}"/>
    <cellStyle name="Note 3 11 2 5" xfId="1242" xr:uid="{00000000-0005-0000-0000-0000A2000000}"/>
    <cellStyle name="Note 3 11 2 6" xfId="1479" xr:uid="{00000000-0005-0000-0000-0000A2000000}"/>
    <cellStyle name="Note 3 11 2 7" xfId="1715" xr:uid="{00000000-0005-0000-0000-0000A2000000}"/>
    <cellStyle name="Note 3 11 2 8" xfId="1951" xr:uid="{00000000-0005-0000-0000-0000A2000000}"/>
    <cellStyle name="Note 3 11 2 9" xfId="2231" xr:uid="{00000000-0005-0000-0000-0000A2000000}"/>
    <cellStyle name="Note 3 11 20" xfId="3833" xr:uid="{00000000-0005-0000-0000-0000A1000000}"/>
    <cellStyle name="Note 3 11 21" xfId="4711" xr:uid="{00000000-0005-0000-0000-0000A1000000}"/>
    <cellStyle name="Note 3 11 3" xfId="429" xr:uid="{00000000-0005-0000-0000-0000A1000000}"/>
    <cellStyle name="Note 3 11 4" xfId="776" xr:uid="{00000000-0005-0000-0000-0000A1000000}"/>
    <cellStyle name="Note 3 11 5" xfId="757" xr:uid="{00000000-0005-0000-0000-0000A1000000}"/>
    <cellStyle name="Note 3 11 6" xfId="1122" xr:uid="{00000000-0005-0000-0000-0000A1000000}"/>
    <cellStyle name="Note 3 11 7" xfId="1359" xr:uid="{00000000-0005-0000-0000-0000A1000000}"/>
    <cellStyle name="Note 3 11 8" xfId="1595" xr:uid="{00000000-0005-0000-0000-0000A1000000}"/>
    <cellStyle name="Note 3 11 9" xfId="1831" xr:uid="{00000000-0005-0000-0000-0000A1000000}"/>
    <cellStyle name="Note 3 12" xfId="155" xr:uid="{00000000-0005-0000-0000-0000A3000000}"/>
    <cellStyle name="Note 3 12 10" xfId="2116" xr:uid="{00000000-0005-0000-0000-0000A3000000}"/>
    <cellStyle name="Note 3 12 11" xfId="2280" xr:uid="{00000000-0005-0000-0000-0000A3000000}"/>
    <cellStyle name="Note 3 12 12" xfId="2520" xr:uid="{00000000-0005-0000-0000-0000A3000000}"/>
    <cellStyle name="Note 3 12 13" xfId="2808" xr:uid="{00000000-0005-0000-0000-0000A3000000}"/>
    <cellStyle name="Note 3 12 14" xfId="3075" xr:uid="{00000000-0005-0000-0000-0000A3000000}"/>
    <cellStyle name="Note 3 12 15" xfId="3286" xr:uid="{00000000-0005-0000-0000-0000A3000000}"/>
    <cellStyle name="Note 3 12 16" xfId="3543" xr:uid="{00000000-0005-0000-0000-0000A3000000}"/>
    <cellStyle name="Note 3 12 17" xfId="3719" xr:uid="{00000000-0005-0000-0000-0000A3000000}"/>
    <cellStyle name="Note 3 12 18" xfId="4099" xr:uid="{00000000-0005-0000-0000-0000A3000000}"/>
    <cellStyle name="Note 3 12 19" xfId="4267" xr:uid="{00000000-0005-0000-0000-0000A3000000}"/>
    <cellStyle name="Note 3 12 2" xfId="276" xr:uid="{00000000-0005-0000-0000-0000A4000000}"/>
    <cellStyle name="Note 3 12 2 10" xfId="2325" xr:uid="{00000000-0005-0000-0000-0000A4000000}"/>
    <cellStyle name="Note 3 12 2 11" xfId="2565" xr:uid="{00000000-0005-0000-0000-0000A4000000}"/>
    <cellStyle name="Note 3 12 2 12" xfId="2566" xr:uid="{00000000-0005-0000-0000-0000A4000000}"/>
    <cellStyle name="Note 3 12 2 13" xfId="3196" xr:uid="{00000000-0005-0000-0000-0000A4000000}"/>
    <cellStyle name="Note 3 12 2 14" xfId="2776" xr:uid="{00000000-0005-0000-0000-0000A4000000}"/>
    <cellStyle name="Note 3 12 2 15" xfId="3664" xr:uid="{00000000-0005-0000-0000-0000A4000000}"/>
    <cellStyle name="Note 3 12 2 16" xfId="3763" xr:uid="{00000000-0005-0000-0000-0000A4000000}"/>
    <cellStyle name="Note 3 12 2 17" xfId="3942" xr:uid="{00000000-0005-0000-0000-0000A4000000}"/>
    <cellStyle name="Note 3 12 2 18" xfId="4388" xr:uid="{00000000-0005-0000-0000-0000A4000000}"/>
    <cellStyle name="Note 3 12 2 19" xfId="4579" xr:uid="{00000000-0005-0000-0000-0000A4000000}"/>
    <cellStyle name="Note 3 12 2 2" xfId="556" xr:uid="{00000000-0005-0000-0000-0000A4000000}"/>
    <cellStyle name="Note 3 12 2 20" xfId="4837" xr:uid="{00000000-0005-0000-0000-0000A4000000}"/>
    <cellStyle name="Note 3 12 2 3" xfId="313" xr:uid="{00000000-0005-0000-0000-0000A4000000}"/>
    <cellStyle name="Note 3 12 2 4" xfId="720" xr:uid="{00000000-0005-0000-0000-0000A4000000}"/>
    <cellStyle name="Note 3 12 2 5" xfId="1248" xr:uid="{00000000-0005-0000-0000-0000A4000000}"/>
    <cellStyle name="Note 3 12 2 6" xfId="1485" xr:uid="{00000000-0005-0000-0000-0000A4000000}"/>
    <cellStyle name="Note 3 12 2 7" xfId="1721" xr:uid="{00000000-0005-0000-0000-0000A4000000}"/>
    <cellStyle name="Note 3 12 2 8" xfId="1957" xr:uid="{00000000-0005-0000-0000-0000A4000000}"/>
    <cellStyle name="Note 3 12 2 9" xfId="2237" xr:uid="{00000000-0005-0000-0000-0000A4000000}"/>
    <cellStyle name="Note 3 12 20" xfId="4419" xr:uid="{00000000-0005-0000-0000-0000A3000000}"/>
    <cellStyle name="Note 3 12 21" xfId="4717" xr:uid="{00000000-0005-0000-0000-0000A3000000}"/>
    <cellStyle name="Note 3 12 3" xfId="435" xr:uid="{00000000-0005-0000-0000-0000A3000000}"/>
    <cellStyle name="Note 3 12 4" xfId="735" xr:uid="{00000000-0005-0000-0000-0000A3000000}"/>
    <cellStyle name="Note 3 12 5" xfId="884" xr:uid="{00000000-0005-0000-0000-0000A3000000}"/>
    <cellStyle name="Note 3 12 6" xfId="1128" xr:uid="{00000000-0005-0000-0000-0000A3000000}"/>
    <cellStyle name="Note 3 12 7" xfId="1365" xr:uid="{00000000-0005-0000-0000-0000A3000000}"/>
    <cellStyle name="Note 3 12 8" xfId="1601" xr:uid="{00000000-0005-0000-0000-0000A3000000}"/>
    <cellStyle name="Note 3 12 9" xfId="1837" xr:uid="{00000000-0005-0000-0000-0000A3000000}"/>
    <cellStyle name="Note 3 13" xfId="166" xr:uid="{00000000-0005-0000-0000-0000A5000000}"/>
    <cellStyle name="Note 3 13 10" xfId="2383" xr:uid="{00000000-0005-0000-0000-0000A5000000}"/>
    <cellStyle name="Note 3 13 11" xfId="2621" xr:uid="{00000000-0005-0000-0000-0000A5000000}"/>
    <cellStyle name="Note 3 13 12" xfId="2863" xr:uid="{00000000-0005-0000-0000-0000A5000000}"/>
    <cellStyle name="Note 3 13 13" xfId="3086" xr:uid="{00000000-0005-0000-0000-0000A5000000}"/>
    <cellStyle name="Note 3 13 14" xfId="3339" xr:uid="{00000000-0005-0000-0000-0000A5000000}"/>
    <cellStyle name="Note 3 13 15" xfId="3554" xr:uid="{00000000-0005-0000-0000-0000A5000000}"/>
    <cellStyle name="Note 3 13 16" xfId="3820" xr:uid="{00000000-0005-0000-0000-0000A5000000}"/>
    <cellStyle name="Note 3 13 17" xfId="3799" xr:uid="{00000000-0005-0000-0000-0000A5000000}"/>
    <cellStyle name="Note 3 13 18" xfId="4278" xr:uid="{00000000-0005-0000-0000-0000A5000000}"/>
    <cellStyle name="Note 3 13 19" xfId="4404" xr:uid="{00000000-0005-0000-0000-0000A5000000}"/>
    <cellStyle name="Note 3 13 2" xfId="446" xr:uid="{00000000-0005-0000-0000-0000A5000000}"/>
    <cellStyle name="Note 3 13 20" xfId="4727" xr:uid="{00000000-0005-0000-0000-0000A5000000}"/>
    <cellStyle name="Note 3 13 3" xfId="794" xr:uid="{00000000-0005-0000-0000-0000A5000000}"/>
    <cellStyle name="Note 3 13 4" xfId="932" xr:uid="{00000000-0005-0000-0000-0000A5000000}"/>
    <cellStyle name="Note 3 13 5" xfId="1138" xr:uid="{00000000-0005-0000-0000-0000A5000000}"/>
    <cellStyle name="Note 3 13 6" xfId="1375" xr:uid="{00000000-0005-0000-0000-0000A5000000}"/>
    <cellStyle name="Note 3 13 7" xfId="1611" xr:uid="{00000000-0005-0000-0000-0000A5000000}"/>
    <cellStyle name="Note 3 13 8" xfId="1847" xr:uid="{00000000-0005-0000-0000-0000A5000000}"/>
    <cellStyle name="Note 3 13 9" xfId="2127" xr:uid="{00000000-0005-0000-0000-0000A5000000}"/>
    <cellStyle name="Note 3 14" xfId="325" xr:uid="{00000000-0005-0000-0000-00009E000000}"/>
    <cellStyle name="Note 3 15" xfId="562" xr:uid="{00000000-0005-0000-0000-00009E000000}"/>
    <cellStyle name="Note 3 16" xfId="897" xr:uid="{00000000-0005-0000-0000-00009E000000}"/>
    <cellStyle name="Note 3 17" xfId="1018" xr:uid="{00000000-0005-0000-0000-00009E000000}"/>
    <cellStyle name="Note 3 18" xfId="1255" xr:uid="{00000000-0005-0000-0000-00009E000000}"/>
    <cellStyle name="Note 3 19" xfId="1491" xr:uid="{00000000-0005-0000-0000-00009E000000}"/>
    <cellStyle name="Note 3 2" xfId="64" xr:uid="{00000000-0005-0000-0000-0000A6000000}"/>
    <cellStyle name="Note 3 2 10" xfId="2025" xr:uid="{00000000-0005-0000-0000-0000A6000000}"/>
    <cellStyle name="Note 3 2 11" xfId="2434" xr:uid="{00000000-0005-0000-0000-0000A6000000}"/>
    <cellStyle name="Note 3 2 12" xfId="2672" xr:uid="{00000000-0005-0000-0000-0000A6000000}"/>
    <cellStyle name="Note 3 2 13" xfId="2754" xr:uid="{00000000-0005-0000-0000-0000A6000000}"/>
    <cellStyle name="Note 3 2 14" xfId="2984" xr:uid="{00000000-0005-0000-0000-0000A6000000}"/>
    <cellStyle name="Note 3 2 15" xfId="3235" xr:uid="{00000000-0005-0000-0000-0000A6000000}"/>
    <cellStyle name="Note 3 2 16" xfId="3452" xr:uid="{00000000-0005-0000-0000-0000A6000000}"/>
    <cellStyle name="Note 3 2 17" xfId="3871" xr:uid="{00000000-0005-0000-0000-0000A6000000}"/>
    <cellStyle name="Note 3 2 18" xfId="4024" xr:uid="{00000000-0005-0000-0000-0000A6000000}"/>
    <cellStyle name="Note 3 2 19" xfId="4176" xr:uid="{00000000-0005-0000-0000-0000A6000000}"/>
    <cellStyle name="Note 3 2 2" xfId="185" xr:uid="{00000000-0005-0000-0000-0000A7000000}"/>
    <cellStyle name="Note 3 2 2 10" xfId="2339" xr:uid="{00000000-0005-0000-0000-0000A7000000}"/>
    <cellStyle name="Note 3 2 2 11" xfId="2579" xr:uid="{00000000-0005-0000-0000-0000A7000000}"/>
    <cellStyle name="Note 3 2 2 12" xfId="2731" xr:uid="{00000000-0005-0000-0000-0000A7000000}"/>
    <cellStyle name="Note 3 2 2 13" xfId="3105" xr:uid="{00000000-0005-0000-0000-0000A7000000}"/>
    <cellStyle name="Note 3 2 2 14" xfId="3213" xr:uid="{00000000-0005-0000-0000-0000A7000000}"/>
    <cellStyle name="Note 3 2 2 15" xfId="3573" xr:uid="{00000000-0005-0000-0000-0000A7000000}"/>
    <cellStyle name="Note 3 2 2 16" xfId="3776" xr:uid="{00000000-0005-0000-0000-0000A7000000}"/>
    <cellStyle name="Note 3 2 2 17" xfId="3999" xr:uid="{00000000-0005-0000-0000-0000A7000000}"/>
    <cellStyle name="Note 3 2 2 18" xfId="4297" xr:uid="{00000000-0005-0000-0000-0000A7000000}"/>
    <cellStyle name="Note 3 2 2 19" xfId="4540" xr:uid="{00000000-0005-0000-0000-0000A7000000}"/>
    <cellStyle name="Note 3 2 2 2" xfId="465" xr:uid="{00000000-0005-0000-0000-0000A7000000}"/>
    <cellStyle name="Note 3 2 2 20" xfId="4746" xr:uid="{00000000-0005-0000-0000-0000A7000000}"/>
    <cellStyle name="Note 3 2 2 3" xfId="688" xr:uid="{00000000-0005-0000-0000-0000A7000000}"/>
    <cellStyle name="Note 3 2 2 4" xfId="810" xr:uid="{00000000-0005-0000-0000-0000A7000000}"/>
    <cellStyle name="Note 3 2 2 5" xfId="1157" xr:uid="{00000000-0005-0000-0000-0000A7000000}"/>
    <cellStyle name="Note 3 2 2 6" xfId="1394" xr:uid="{00000000-0005-0000-0000-0000A7000000}"/>
    <cellStyle name="Note 3 2 2 7" xfId="1630" xr:uid="{00000000-0005-0000-0000-0000A7000000}"/>
    <cellStyle name="Note 3 2 2 8" xfId="1866" xr:uid="{00000000-0005-0000-0000-0000A7000000}"/>
    <cellStyle name="Note 3 2 2 9" xfId="2146" xr:uid="{00000000-0005-0000-0000-0000A7000000}"/>
    <cellStyle name="Note 3 2 20" xfId="4573" xr:uid="{00000000-0005-0000-0000-0000A6000000}"/>
    <cellStyle name="Note 3 2 21" xfId="4626" xr:uid="{00000000-0005-0000-0000-0000A6000000}"/>
    <cellStyle name="Note 3 2 3" xfId="344" xr:uid="{00000000-0005-0000-0000-0000A6000000}"/>
    <cellStyle name="Note 3 2 4" xfId="686" xr:uid="{00000000-0005-0000-0000-0000A6000000}"/>
    <cellStyle name="Note 3 2 5" xfId="830" xr:uid="{00000000-0005-0000-0000-0000A6000000}"/>
    <cellStyle name="Note 3 2 6" xfId="1037" xr:uid="{00000000-0005-0000-0000-0000A6000000}"/>
    <cellStyle name="Note 3 2 7" xfId="1274" xr:uid="{00000000-0005-0000-0000-0000A6000000}"/>
    <cellStyle name="Note 3 2 8" xfId="1510" xr:uid="{00000000-0005-0000-0000-0000A6000000}"/>
    <cellStyle name="Note 3 2 9" xfId="1746" xr:uid="{00000000-0005-0000-0000-0000A6000000}"/>
    <cellStyle name="Note 3 20" xfId="1727" xr:uid="{00000000-0005-0000-0000-00009E000000}"/>
    <cellStyle name="Note 3 21" xfId="2006" xr:uid="{00000000-0005-0000-0000-00009E000000}"/>
    <cellStyle name="Note 3 22" xfId="1970" xr:uid="{00000000-0005-0000-0000-00009E000000}"/>
    <cellStyle name="Note 3 23" xfId="2321" xr:uid="{00000000-0005-0000-0000-00009E000000}"/>
    <cellStyle name="Note 3 24" xfId="2824" xr:uid="{00000000-0005-0000-0000-00009E000000}"/>
    <cellStyle name="Note 3 25" xfId="2965" xr:uid="{00000000-0005-0000-0000-00009E000000}"/>
    <cellStyle name="Note 3 26" xfId="3300" xr:uid="{00000000-0005-0000-0000-00009E000000}"/>
    <cellStyle name="Note 3 27" xfId="3433" xr:uid="{00000000-0005-0000-0000-00009E000000}"/>
    <cellStyle name="Note 3 28" xfId="3674" xr:uid="{00000000-0005-0000-0000-00009E000000}"/>
    <cellStyle name="Note 3 29" xfId="4126" xr:uid="{00000000-0005-0000-0000-00009E000000}"/>
    <cellStyle name="Note 3 3" xfId="73" xr:uid="{00000000-0005-0000-0000-0000A8000000}"/>
    <cellStyle name="Note 3 3 10" xfId="2034" xr:uid="{00000000-0005-0000-0000-0000A8000000}"/>
    <cellStyle name="Note 3 3 11" xfId="2302" xr:uid="{00000000-0005-0000-0000-0000A8000000}"/>
    <cellStyle name="Note 3 3 12" xfId="2542" xr:uid="{00000000-0005-0000-0000-0000A8000000}"/>
    <cellStyle name="Note 3 3 13" xfId="2822" xr:uid="{00000000-0005-0000-0000-0000A8000000}"/>
    <cellStyle name="Note 3 3 14" xfId="2993" xr:uid="{00000000-0005-0000-0000-0000A8000000}"/>
    <cellStyle name="Note 3 3 15" xfId="3298" xr:uid="{00000000-0005-0000-0000-0000A8000000}"/>
    <cellStyle name="Note 3 3 16" xfId="3461" xr:uid="{00000000-0005-0000-0000-0000A8000000}"/>
    <cellStyle name="Note 3 3 17" xfId="3741" xr:uid="{00000000-0005-0000-0000-0000A8000000}"/>
    <cellStyle name="Note 3 3 18" xfId="4016" xr:uid="{00000000-0005-0000-0000-0000A8000000}"/>
    <cellStyle name="Note 3 3 19" xfId="4185" xr:uid="{00000000-0005-0000-0000-0000A8000000}"/>
    <cellStyle name="Note 3 3 2" xfId="194" xr:uid="{00000000-0005-0000-0000-0000A9000000}"/>
    <cellStyle name="Note 3 3 2 10" xfId="2330" xr:uid="{00000000-0005-0000-0000-0000A9000000}"/>
    <cellStyle name="Note 3 3 2 11" xfId="2570" xr:uid="{00000000-0005-0000-0000-0000A9000000}"/>
    <cellStyle name="Note 3 3 2 12" xfId="2780" xr:uid="{00000000-0005-0000-0000-0000A9000000}"/>
    <cellStyle name="Note 3 3 2 13" xfId="3114" xr:uid="{00000000-0005-0000-0000-0000A9000000}"/>
    <cellStyle name="Note 3 3 2 14" xfId="3259" xr:uid="{00000000-0005-0000-0000-0000A9000000}"/>
    <cellStyle name="Note 3 3 2 15" xfId="3582" xr:uid="{00000000-0005-0000-0000-0000A9000000}"/>
    <cellStyle name="Note 3 3 2 16" xfId="3768" xr:uid="{00000000-0005-0000-0000-0000A9000000}"/>
    <cellStyle name="Note 3 3 2 17" xfId="3919" xr:uid="{00000000-0005-0000-0000-0000A9000000}"/>
    <cellStyle name="Note 3 3 2 18" xfId="4306" xr:uid="{00000000-0005-0000-0000-0000A9000000}"/>
    <cellStyle name="Note 3 3 2 19" xfId="3953" xr:uid="{00000000-0005-0000-0000-0000A9000000}"/>
    <cellStyle name="Note 3 3 2 2" xfId="474" xr:uid="{00000000-0005-0000-0000-0000A9000000}"/>
    <cellStyle name="Note 3 3 2 20" xfId="4755" xr:uid="{00000000-0005-0000-0000-0000A9000000}"/>
    <cellStyle name="Note 3 3 2 3" xfId="738" xr:uid="{00000000-0005-0000-0000-0000A9000000}"/>
    <cellStyle name="Note 3 3 2 4" xfId="856" xr:uid="{00000000-0005-0000-0000-0000A9000000}"/>
    <cellStyle name="Note 3 3 2 5" xfId="1166" xr:uid="{00000000-0005-0000-0000-0000A9000000}"/>
    <cellStyle name="Note 3 3 2 6" xfId="1403" xr:uid="{00000000-0005-0000-0000-0000A9000000}"/>
    <cellStyle name="Note 3 3 2 7" xfId="1639" xr:uid="{00000000-0005-0000-0000-0000A9000000}"/>
    <cellStyle name="Note 3 3 2 8" xfId="1875" xr:uid="{00000000-0005-0000-0000-0000A9000000}"/>
    <cellStyle name="Note 3 3 2 9" xfId="2155" xr:uid="{00000000-0005-0000-0000-0000A9000000}"/>
    <cellStyle name="Note 3 3 20" xfId="4481" xr:uid="{00000000-0005-0000-0000-0000A8000000}"/>
    <cellStyle name="Note 3 3 21" xfId="4635" xr:uid="{00000000-0005-0000-0000-0000A8000000}"/>
    <cellStyle name="Note 3 3 3" xfId="353" xr:uid="{00000000-0005-0000-0000-0000A8000000}"/>
    <cellStyle name="Note 3 3 4" xfId="632" xr:uid="{00000000-0005-0000-0000-0000A8000000}"/>
    <cellStyle name="Note 3 3 5" xfId="896" xr:uid="{00000000-0005-0000-0000-0000A8000000}"/>
    <cellStyle name="Note 3 3 6" xfId="1046" xr:uid="{00000000-0005-0000-0000-0000A8000000}"/>
    <cellStyle name="Note 3 3 7" xfId="1283" xr:uid="{00000000-0005-0000-0000-0000A8000000}"/>
    <cellStyle name="Note 3 3 8" xfId="1519" xr:uid="{00000000-0005-0000-0000-0000A8000000}"/>
    <cellStyle name="Note 3 3 9" xfId="1755" xr:uid="{00000000-0005-0000-0000-0000A8000000}"/>
    <cellStyle name="Note 3 30" xfId="4157" xr:uid="{00000000-0005-0000-0000-00009E000000}"/>
    <cellStyle name="Note 3 31" xfId="4515" xr:uid="{00000000-0005-0000-0000-00009E000000}"/>
    <cellStyle name="Note 3 32" xfId="4607" xr:uid="{00000000-0005-0000-0000-00009E000000}"/>
    <cellStyle name="Note 3 4" xfId="83" xr:uid="{00000000-0005-0000-0000-0000AA000000}"/>
    <cellStyle name="Note 3 4 10" xfId="2044" xr:uid="{00000000-0005-0000-0000-0000AA000000}"/>
    <cellStyle name="Note 3 4 11" xfId="2379" xr:uid="{00000000-0005-0000-0000-0000AA000000}"/>
    <cellStyle name="Note 3 4 12" xfId="2617" xr:uid="{00000000-0005-0000-0000-0000AA000000}"/>
    <cellStyle name="Note 3 4 13" xfId="2867" xr:uid="{00000000-0005-0000-0000-0000AA000000}"/>
    <cellStyle name="Note 3 4 14" xfId="3003" xr:uid="{00000000-0005-0000-0000-0000AA000000}"/>
    <cellStyle name="Note 3 4 15" xfId="3343" xr:uid="{00000000-0005-0000-0000-0000AA000000}"/>
    <cellStyle name="Note 3 4 16" xfId="3471" xr:uid="{00000000-0005-0000-0000-0000AA000000}"/>
    <cellStyle name="Note 3 4 17" xfId="3816" xr:uid="{00000000-0005-0000-0000-0000AA000000}"/>
    <cellStyle name="Note 3 4 18" xfId="4145" xr:uid="{00000000-0005-0000-0000-0000AA000000}"/>
    <cellStyle name="Note 3 4 19" xfId="4195" xr:uid="{00000000-0005-0000-0000-0000AA000000}"/>
    <cellStyle name="Note 3 4 2" xfId="204" xr:uid="{00000000-0005-0000-0000-0000AB000000}"/>
    <cellStyle name="Note 3 4 2 10" xfId="2288" xr:uid="{00000000-0005-0000-0000-0000AB000000}"/>
    <cellStyle name="Note 3 4 2 11" xfId="2528" xr:uid="{00000000-0005-0000-0000-0000AB000000}"/>
    <cellStyle name="Note 3 4 2 12" xfId="2283" xr:uid="{00000000-0005-0000-0000-0000AB000000}"/>
    <cellStyle name="Note 3 4 2 13" xfId="3124" xr:uid="{00000000-0005-0000-0000-0000AB000000}"/>
    <cellStyle name="Note 3 4 2 14" xfId="2760" xr:uid="{00000000-0005-0000-0000-0000AB000000}"/>
    <cellStyle name="Note 3 4 2 15" xfId="3592" xr:uid="{00000000-0005-0000-0000-0000AB000000}"/>
    <cellStyle name="Note 3 4 2 16" xfId="3727" xr:uid="{00000000-0005-0000-0000-0000AB000000}"/>
    <cellStyle name="Note 3 4 2 17" xfId="3927" xr:uid="{00000000-0005-0000-0000-0000AB000000}"/>
    <cellStyle name="Note 3 4 2 18" xfId="4316" xr:uid="{00000000-0005-0000-0000-0000AB000000}"/>
    <cellStyle name="Note 3 4 2 19" xfId="4424" xr:uid="{00000000-0005-0000-0000-0000AB000000}"/>
    <cellStyle name="Note 3 4 2 2" xfId="484" xr:uid="{00000000-0005-0000-0000-0000AB000000}"/>
    <cellStyle name="Note 3 4 2 20" xfId="4765" xr:uid="{00000000-0005-0000-0000-0000AB000000}"/>
    <cellStyle name="Note 3 4 2 3" xfId="563" xr:uid="{00000000-0005-0000-0000-0000AB000000}"/>
    <cellStyle name="Note 3 4 2 4" xfId="725" xr:uid="{00000000-0005-0000-0000-0000AB000000}"/>
    <cellStyle name="Note 3 4 2 5" xfId="1176" xr:uid="{00000000-0005-0000-0000-0000AB000000}"/>
    <cellStyle name="Note 3 4 2 6" xfId="1413" xr:uid="{00000000-0005-0000-0000-0000AB000000}"/>
    <cellStyle name="Note 3 4 2 7" xfId="1649" xr:uid="{00000000-0005-0000-0000-0000AB000000}"/>
    <cellStyle name="Note 3 4 2 8" xfId="1885" xr:uid="{00000000-0005-0000-0000-0000AB000000}"/>
    <cellStyle name="Note 3 4 2 9" xfId="2165" xr:uid="{00000000-0005-0000-0000-0000AB000000}"/>
    <cellStyle name="Note 3 4 20" xfId="4586" xr:uid="{00000000-0005-0000-0000-0000AA000000}"/>
    <cellStyle name="Note 3 4 21" xfId="4645" xr:uid="{00000000-0005-0000-0000-0000AA000000}"/>
    <cellStyle name="Note 3 4 3" xfId="363" xr:uid="{00000000-0005-0000-0000-0000AA000000}"/>
    <cellStyle name="Note 3 4 4" xfId="598" xr:uid="{00000000-0005-0000-0000-0000AA000000}"/>
    <cellStyle name="Note 3 4 5" xfId="936" xr:uid="{00000000-0005-0000-0000-0000AA000000}"/>
    <cellStyle name="Note 3 4 6" xfId="1056" xr:uid="{00000000-0005-0000-0000-0000AA000000}"/>
    <cellStyle name="Note 3 4 7" xfId="1293" xr:uid="{00000000-0005-0000-0000-0000AA000000}"/>
    <cellStyle name="Note 3 4 8" xfId="1529" xr:uid="{00000000-0005-0000-0000-0000AA000000}"/>
    <cellStyle name="Note 3 4 9" xfId="1765" xr:uid="{00000000-0005-0000-0000-0000AA000000}"/>
    <cellStyle name="Note 3 5" xfId="89" xr:uid="{00000000-0005-0000-0000-0000AC000000}"/>
    <cellStyle name="Note 3 5 10" xfId="2050" xr:uid="{00000000-0005-0000-0000-0000AC000000}"/>
    <cellStyle name="Note 3 5 11" xfId="2305" xr:uid="{00000000-0005-0000-0000-0000AC000000}"/>
    <cellStyle name="Note 3 5 12" xfId="2545" xr:uid="{00000000-0005-0000-0000-0000AC000000}"/>
    <cellStyle name="Note 3 5 13" xfId="2856" xr:uid="{00000000-0005-0000-0000-0000AC000000}"/>
    <cellStyle name="Note 3 5 14" xfId="3009" xr:uid="{00000000-0005-0000-0000-0000AC000000}"/>
    <cellStyle name="Note 3 5 15" xfId="3332" xr:uid="{00000000-0005-0000-0000-0000AC000000}"/>
    <cellStyle name="Note 3 5 16" xfId="3477" xr:uid="{00000000-0005-0000-0000-0000AC000000}"/>
    <cellStyle name="Note 3 5 17" xfId="3744" xr:uid="{00000000-0005-0000-0000-0000AC000000}"/>
    <cellStyle name="Note 3 5 18" xfId="4018" xr:uid="{00000000-0005-0000-0000-0000AC000000}"/>
    <cellStyle name="Note 3 5 19" xfId="4201" xr:uid="{00000000-0005-0000-0000-0000AC000000}"/>
    <cellStyle name="Note 3 5 2" xfId="210" xr:uid="{00000000-0005-0000-0000-0000AD000000}"/>
    <cellStyle name="Note 3 5 2 10" xfId="2463" xr:uid="{00000000-0005-0000-0000-0000AD000000}"/>
    <cellStyle name="Note 3 5 2 11" xfId="2701" xr:uid="{00000000-0005-0000-0000-0000AD000000}"/>
    <cellStyle name="Note 3 5 2 12" xfId="2924" xr:uid="{00000000-0005-0000-0000-0000AD000000}"/>
    <cellStyle name="Note 3 5 2 13" xfId="3130" xr:uid="{00000000-0005-0000-0000-0000AD000000}"/>
    <cellStyle name="Note 3 5 2 14" xfId="3399" xr:uid="{00000000-0005-0000-0000-0000AD000000}"/>
    <cellStyle name="Note 3 5 2 15" xfId="3598" xr:uid="{00000000-0005-0000-0000-0000AD000000}"/>
    <cellStyle name="Note 3 5 2 16" xfId="3900" xr:uid="{00000000-0005-0000-0000-0000AD000000}"/>
    <cellStyle name="Note 3 5 2 17" xfId="4143" xr:uid="{00000000-0005-0000-0000-0000AD000000}"/>
    <cellStyle name="Note 3 5 2 18" xfId="4322" xr:uid="{00000000-0005-0000-0000-0000AD000000}"/>
    <cellStyle name="Note 3 5 2 19" xfId="4537" xr:uid="{00000000-0005-0000-0000-0000AD000000}"/>
    <cellStyle name="Note 3 5 2 2" xfId="490" xr:uid="{00000000-0005-0000-0000-0000AD000000}"/>
    <cellStyle name="Note 3 5 2 20" xfId="4771" xr:uid="{00000000-0005-0000-0000-0000AD000000}"/>
    <cellStyle name="Note 3 5 2 3" xfId="640" xr:uid="{00000000-0005-0000-0000-0000AD000000}"/>
    <cellStyle name="Note 3 5 2 4" xfId="989" xr:uid="{00000000-0005-0000-0000-0000AD000000}"/>
    <cellStyle name="Note 3 5 2 5" xfId="1182" xr:uid="{00000000-0005-0000-0000-0000AD000000}"/>
    <cellStyle name="Note 3 5 2 6" xfId="1419" xr:uid="{00000000-0005-0000-0000-0000AD000000}"/>
    <cellStyle name="Note 3 5 2 7" xfId="1655" xr:uid="{00000000-0005-0000-0000-0000AD000000}"/>
    <cellStyle name="Note 3 5 2 8" xfId="1891" xr:uid="{00000000-0005-0000-0000-0000AD000000}"/>
    <cellStyle name="Note 3 5 2 9" xfId="2171" xr:uid="{00000000-0005-0000-0000-0000AD000000}"/>
    <cellStyle name="Note 3 5 20" xfId="4510" xr:uid="{00000000-0005-0000-0000-0000AC000000}"/>
    <cellStyle name="Note 3 5 21" xfId="4651" xr:uid="{00000000-0005-0000-0000-0000AC000000}"/>
    <cellStyle name="Note 3 5 3" xfId="369" xr:uid="{00000000-0005-0000-0000-0000AC000000}"/>
    <cellStyle name="Note 3 5 4" xfId="764" xr:uid="{00000000-0005-0000-0000-0000AC000000}"/>
    <cellStyle name="Note 3 5 5" xfId="926" xr:uid="{00000000-0005-0000-0000-0000AC000000}"/>
    <cellStyle name="Note 3 5 6" xfId="1062" xr:uid="{00000000-0005-0000-0000-0000AC000000}"/>
    <cellStyle name="Note 3 5 7" xfId="1299" xr:uid="{00000000-0005-0000-0000-0000AC000000}"/>
    <cellStyle name="Note 3 5 8" xfId="1535" xr:uid="{00000000-0005-0000-0000-0000AC000000}"/>
    <cellStyle name="Note 3 5 9" xfId="1771" xr:uid="{00000000-0005-0000-0000-0000AC000000}"/>
    <cellStyle name="Note 3 6" xfId="95" xr:uid="{00000000-0005-0000-0000-0000AE000000}"/>
    <cellStyle name="Note 3 6 10" xfId="2056" xr:uid="{00000000-0005-0000-0000-0000AE000000}"/>
    <cellStyle name="Note 3 6 11" xfId="2356" xr:uid="{00000000-0005-0000-0000-0000AE000000}"/>
    <cellStyle name="Note 3 6 12" xfId="2595" xr:uid="{00000000-0005-0000-0000-0000AE000000}"/>
    <cellStyle name="Note 3 6 13" xfId="2795" xr:uid="{00000000-0005-0000-0000-0000AE000000}"/>
    <cellStyle name="Note 3 6 14" xfId="3015" xr:uid="{00000000-0005-0000-0000-0000AE000000}"/>
    <cellStyle name="Note 3 6 15" xfId="3274" xr:uid="{00000000-0005-0000-0000-0000AE000000}"/>
    <cellStyle name="Note 3 6 16" xfId="3483" xr:uid="{00000000-0005-0000-0000-0000AE000000}"/>
    <cellStyle name="Note 3 6 17" xfId="3793" xr:uid="{00000000-0005-0000-0000-0000AE000000}"/>
    <cellStyle name="Note 3 6 18" xfId="3957" xr:uid="{00000000-0005-0000-0000-0000AE000000}"/>
    <cellStyle name="Note 3 6 19" xfId="4207" xr:uid="{00000000-0005-0000-0000-0000AE000000}"/>
    <cellStyle name="Note 3 6 2" xfId="216" xr:uid="{00000000-0005-0000-0000-0000AF000000}"/>
    <cellStyle name="Note 3 6 2 10" xfId="2336" xr:uid="{00000000-0005-0000-0000-0000AF000000}"/>
    <cellStyle name="Note 3 6 2 11" xfId="2576" xr:uid="{00000000-0005-0000-0000-0000AF000000}"/>
    <cellStyle name="Note 3 6 2 12" xfId="2884" xr:uid="{00000000-0005-0000-0000-0000AF000000}"/>
    <cellStyle name="Note 3 6 2 13" xfId="3136" xr:uid="{00000000-0005-0000-0000-0000AF000000}"/>
    <cellStyle name="Note 3 6 2 14" xfId="3361" xr:uid="{00000000-0005-0000-0000-0000AF000000}"/>
    <cellStyle name="Note 3 6 2 15" xfId="3604" xr:uid="{00000000-0005-0000-0000-0000AF000000}"/>
    <cellStyle name="Note 3 6 2 16" xfId="3774" xr:uid="{00000000-0005-0000-0000-0000AF000000}"/>
    <cellStyle name="Note 3 6 2 17" xfId="4141" xr:uid="{00000000-0005-0000-0000-0000AF000000}"/>
    <cellStyle name="Note 3 6 2 18" xfId="4328" xr:uid="{00000000-0005-0000-0000-0000AF000000}"/>
    <cellStyle name="Note 3 6 2 19" xfId="4555" xr:uid="{00000000-0005-0000-0000-0000AF000000}"/>
    <cellStyle name="Note 3 6 2 2" xfId="496" xr:uid="{00000000-0005-0000-0000-0000AF000000}"/>
    <cellStyle name="Note 3 6 2 20" xfId="4777" xr:uid="{00000000-0005-0000-0000-0000AF000000}"/>
    <cellStyle name="Note 3 6 2 3" xfId="602" xr:uid="{00000000-0005-0000-0000-0000AF000000}"/>
    <cellStyle name="Note 3 6 2 4" xfId="952" xr:uid="{00000000-0005-0000-0000-0000AF000000}"/>
    <cellStyle name="Note 3 6 2 5" xfId="1188" xr:uid="{00000000-0005-0000-0000-0000AF000000}"/>
    <cellStyle name="Note 3 6 2 6" xfId="1425" xr:uid="{00000000-0005-0000-0000-0000AF000000}"/>
    <cellStyle name="Note 3 6 2 7" xfId="1661" xr:uid="{00000000-0005-0000-0000-0000AF000000}"/>
    <cellStyle name="Note 3 6 2 8" xfId="1897" xr:uid="{00000000-0005-0000-0000-0000AF000000}"/>
    <cellStyle name="Note 3 6 2 9" xfId="2177" xr:uid="{00000000-0005-0000-0000-0000AF000000}"/>
    <cellStyle name="Note 3 6 20" xfId="4407" xr:uid="{00000000-0005-0000-0000-0000AE000000}"/>
    <cellStyle name="Note 3 6 21" xfId="4657" xr:uid="{00000000-0005-0000-0000-0000AE000000}"/>
    <cellStyle name="Note 3 6 3" xfId="375" xr:uid="{00000000-0005-0000-0000-0000AE000000}"/>
    <cellStyle name="Note 3 6 4" xfId="288" xr:uid="{00000000-0005-0000-0000-0000AE000000}"/>
    <cellStyle name="Note 3 6 5" xfId="871" xr:uid="{00000000-0005-0000-0000-0000AE000000}"/>
    <cellStyle name="Note 3 6 6" xfId="1068" xr:uid="{00000000-0005-0000-0000-0000AE000000}"/>
    <cellStyle name="Note 3 6 7" xfId="1305" xr:uid="{00000000-0005-0000-0000-0000AE000000}"/>
    <cellStyle name="Note 3 6 8" xfId="1541" xr:uid="{00000000-0005-0000-0000-0000AE000000}"/>
    <cellStyle name="Note 3 6 9" xfId="1777" xr:uid="{00000000-0005-0000-0000-0000AE000000}"/>
    <cellStyle name="Note 3 7" xfId="121" xr:uid="{00000000-0005-0000-0000-0000B0000000}"/>
    <cellStyle name="Note 3 7 10" xfId="2082" xr:uid="{00000000-0005-0000-0000-0000B0000000}"/>
    <cellStyle name="Note 3 7 11" xfId="2310" xr:uid="{00000000-0005-0000-0000-0000B0000000}"/>
    <cellStyle name="Note 3 7 12" xfId="2550" xr:uid="{00000000-0005-0000-0000-0000B0000000}"/>
    <cellStyle name="Note 3 7 13" xfId="2820" xr:uid="{00000000-0005-0000-0000-0000B0000000}"/>
    <cellStyle name="Note 3 7 14" xfId="3041" xr:uid="{00000000-0005-0000-0000-0000B0000000}"/>
    <cellStyle name="Note 3 7 15" xfId="3296" xr:uid="{00000000-0005-0000-0000-0000B0000000}"/>
    <cellStyle name="Note 3 7 16" xfId="3509" xr:uid="{00000000-0005-0000-0000-0000B0000000}"/>
    <cellStyle name="Note 3 7 17" xfId="3749" xr:uid="{00000000-0005-0000-0000-0000B0000000}"/>
    <cellStyle name="Note 3 7 18" xfId="3676" xr:uid="{00000000-0005-0000-0000-0000B0000000}"/>
    <cellStyle name="Note 3 7 19" xfId="4233" xr:uid="{00000000-0005-0000-0000-0000B0000000}"/>
    <cellStyle name="Note 3 7 2" xfId="242" xr:uid="{00000000-0005-0000-0000-0000B1000000}"/>
    <cellStyle name="Note 3 7 2 10" xfId="2433" xr:uid="{00000000-0005-0000-0000-0000B1000000}"/>
    <cellStyle name="Note 3 7 2 11" xfId="2671" xr:uid="{00000000-0005-0000-0000-0000B1000000}"/>
    <cellStyle name="Note 3 7 2 12" xfId="2857" xr:uid="{00000000-0005-0000-0000-0000B1000000}"/>
    <cellStyle name="Note 3 7 2 13" xfId="3162" xr:uid="{00000000-0005-0000-0000-0000B1000000}"/>
    <cellStyle name="Note 3 7 2 14" xfId="3333" xr:uid="{00000000-0005-0000-0000-0000B1000000}"/>
    <cellStyle name="Note 3 7 2 15" xfId="3630" xr:uid="{00000000-0005-0000-0000-0000B1000000}"/>
    <cellStyle name="Note 3 7 2 16" xfId="3870" xr:uid="{00000000-0005-0000-0000-0000B1000000}"/>
    <cellStyle name="Note 3 7 2 17" xfId="4047" xr:uid="{00000000-0005-0000-0000-0000B1000000}"/>
    <cellStyle name="Note 3 7 2 18" xfId="4354" xr:uid="{00000000-0005-0000-0000-0000B1000000}"/>
    <cellStyle name="Note 3 7 2 19" xfId="4467" xr:uid="{00000000-0005-0000-0000-0000B1000000}"/>
    <cellStyle name="Note 3 7 2 2" xfId="522" xr:uid="{00000000-0005-0000-0000-0000B1000000}"/>
    <cellStyle name="Note 3 7 2 20" xfId="4803" xr:uid="{00000000-0005-0000-0000-0000B1000000}"/>
    <cellStyle name="Note 3 7 2 3" xfId="571" xr:uid="{00000000-0005-0000-0000-0000B1000000}"/>
    <cellStyle name="Note 3 7 2 4" xfId="927" xr:uid="{00000000-0005-0000-0000-0000B1000000}"/>
    <cellStyle name="Note 3 7 2 5" xfId="1214" xr:uid="{00000000-0005-0000-0000-0000B1000000}"/>
    <cellStyle name="Note 3 7 2 6" xfId="1451" xr:uid="{00000000-0005-0000-0000-0000B1000000}"/>
    <cellStyle name="Note 3 7 2 7" xfId="1687" xr:uid="{00000000-0005-0000-0000-0000B1000000}"/>
    <cellStyle name="Note 3 7 2 8" xfId="1923" xr:uid="{00000000-0005-0000-0000-0000B1000000}"/>
    <cellStyle name="Note 3 7 2 9" xfId="2203" xr:uid="{00000000-0005-0000-0000-0000B1000000}"/>
    <cellStyle name="Note 3 7 20" xfId="4519" xr:uid="{00000000-0005-0000-0000-0000B0000000}"/>
    <cellStyle name="Note 3 7 21" xfId="4683" xr:uid="{00000000-0005-0000-0000-0000B0000000}"/>
    <cellStyle name="Note 3 7 3" xfId="401" xr:uid="{00000000-0005-0000-0000-0000B0000000}"/>
    <cellStyle name="Note 3 7 4" xfId="634" xr:uid="{00000000-0005-0000-0000-0000B0000000}"/>
    <cellStyle name="Note 3 7 5" xfId="894" xr:uid="{00000000-0005-0000-0000-0000B0000000}"/>
    <cellStyle name="Note 3 7 6" xfId="1094" xr:uid="{00000000-0005-0000-0000-0000B0000000}"/>
    <cellStyle name="Note 3 7 7" xfId="1331" xr:uid="{00000000-0005-0000-0000-0000B0000000}"/>
    <cellStyle name="Note 3 7 8" xfId="1567" xr:uid="{00000000-0005-0000-0000-0000B0000000}"/>
    <cellStyle name="Note 3 7 9" xfId="1803" xr:uid="{00000000-0005-0000-0000-0000B0000000}"/>
    <cellStyle name="Note 3 8" xfId="129" xr:uid="{00000000-0005-0000-0000-0000B2000000}"/>
    <cellStyle name="Note 3 8 10" xfId="2090" xr:uid="{00000000-0005-0000-0000-0000B2000000}"/>
    <cellStyle name="Note 3 8 11" xfId="2242" xr:uid="{00000000-0005-0000-0000-0000B2000000}"/>
    <cellStyle name="Note 3 8 12" xfId="2482" xr:uid="{00000000-0005-0000-0000-0000B2000000}"/>
    <cellStyle name="Note 3 8 13" xfId="2876" xr:uid="{00000000-0005-0000-0000-0000B2000000}"/>
    <cellStyle name="Note 3 8 14" xfId="3049" xr:uid="{00000000-0005-0000-0000-0000B2000000}"/>
    <cellStyle name="Note 3 8 15" xfId="3352" xr:uid="{00000000-0005-0000-0000-0000B2000000}"/>
    <cellStyle name="Note 3 8 16" xfId="3517" xr:uid="{00000000-0005-0000-0000-0000B2000000}"/>
    <cellStyle name="Note 3 8 17" xfId="3682" xr:uid="{00000000-0005-0000-0000-0000B2000000}"/>
    <cellStyle name="Note 3 8 18" xfId="4066" xr:uid="{00000000-0005-0000-0000-0000B2000000}"/>
    <cellStyle name="Note 3 8 19" xfId="4241" xr:uid="{00000000-0005-0000-0000-0000B2000000}"/>
    <cellStyle name="Note 3 8 2" xfId="250" xr:uid="{00000000-0005-0000-0000-0000B3000000}"/>
    <cellStyle name="Note 3 8 2 10" xfId="2307" xr:uid="{00000000-0005-0000-0000-0000B3000000}"/>
    <cellStyle name="Note 3 8 2 11" xfId="2547" xr:uid="{00000000-0005-0000-0000-0000B3000000}"/>
    <cellStyle name="Note 3 8 2 12" xfId="2818" xr:uid="{00000000-0005-0000-0000-0000B3000000}"/>
    <cellStyle name="Note 3 8 2 13" xfId="3170" xr:uid="{00000000-0005-0000-0000-0000B3000000}"/>
    <cellStyle name="Note 3 8 2 14" xfId="3294" xr:uid="{00000000-0005-0000-0000-0000B3000000}"/>
    <cellStyle name="Note 3 8 2 15" xfId="3638" xr:uid="{00000000-0005-0000-0000-0000B3000000}"/>
    <cellStyle name="Note 3 8 2 16" xfId="3746" xr:uid="{00000000-0005-0000-0000-0000B3000000}"/>
    <cellStyle name="Note 3 8 2 17" xfId="3994" xr:uid="{00000000-0005-0000-0000-0000B3000000}"/>
    <cellStyle name="Note 3 8 2 18" xfId="4362" xr:uid="{00000000-0005-0000-0000-0000B3000000}"/>
    <cellStyle name="Note 3 8 2 19" xfId="4594" xr:uid="{00000000-0005-0000-0000-0000B3000000}"/>
    <cellStyle name="Note 3 8 2 2" xfId="530" xr:uid="{00000000-0005-0000-0000-0000B3000000}"/>
    <cellStyle name="Note 3 8 2 20" xfId="4811" xr:uid="{00000000-0005-0000-0000-0000B3000000}"/>
    <cellStyle name="Note 3 8 2 3" xfId="766" xr:uid="{00000000-0005-0000-0000-0000B3000000}"/>
    <cellStyle name="Note 3 8 2 4" xfId="892" xr:uid="{00000000-0005-0000-0000-0000B3000000}"/>
    <cellStyle name="Note 3 8 2 5" xfId="1222" xr:uid="{00000000-0005-0000-0000-0000B3000000}"/>
    <cellStyle name="Note 3 8 2 6" xfId="1459" xr:uid="{00000000-0005-0000-0000-0000B3000000}"/>
    <cellStyle name="Note 3 8 2 7" xfId="1695" xr:uid="{00000000-0005-0000-0000-0000B3000000}"/>
    <cellStyle name="Note 3 8 2 8" xfId="1931" xr:uid="{00000000-0005-0000-0000-0000B3000000}"/>
    <cellStyle name="Note 3 8 2 9" xfId="2211" xr:uid="{00000000-0005-0000-0000-0000B3000000}"/>
    <cellStyle name="Note 3 8 20" xfId="4486" xr:uid="{00000000-0005-0000-0000-0000B2000000}"/>
    <cellStyle name="Note 3 8 21" xfId="4691" xr:uid="{00000000-0005-0000-0000-0000B2000000}"/>
    <cellStyle name="Note 3 8 3" xfId="409" xr:uid="{00000000-0005-0000-0000-0000B2000000}"/>
    <cellStyle name="Note 3 8 4" xfId="573" xr:uid="{00000000-0005-0000-0000-0000B2000000}"/>
    <cellStyle name="Note 3 8 5" xfId="945" xr:uid="{00000000-0005-0000-0000-0000B2000000}"/>
    <cellStyle name="Note 3 8 6" xfId="1102" xr:uid="{00000000-0005-0000-0000-0000B2000000}"/>
    <cellStyle name="Note 3 8 7" xfId="1339" xr:uid="{00000000-0005-0000-0000-0000B2000000}"/>
    <cellStyle name="Note 3 8 8" xfId="1575" xr:uid="{00000000-0005-0000-0000-0000B2000000}"/>
    <cellStyle name="Note 3 8 9" xfId="1811" xr:uid="{00000000-0005-0000-0000-0000B2000000}"/>
    <cellStyle name="Note 3 9" xfId="136" xr:uid="{00000000-0005-0000-0000-0000B4000000}"/>
    <cellStyle name="Note 3 9 10" xfId="2097" xr:uid="{00000000-0005-0000-0000-0000B4000000}"/>
    <cellStyle name="Note 3 9 11" xfId="2481" xr:uid="{00000000-0005-0000-0000-0000B4000000}"/>
    <cellStyle name="Note 3 9 12" xfId="2719" xr:uid="{00000000-0005-0000-0000-0000B4000000}"/>
    <cellStyle name="Note 3 9 13" xfId="2729" xr:uid="{00000000-0005-0000-0000-0000B4000000}"/>
    <cellStyle name="Note 3 9 14" xfId="3056" xr:uid="{00000000-0005-0000-0000-0000B4000000}"/>
    <cellStyle name="Note 3 9 15" xfId="3211" xr:uid="{00000000-0005-0000-0000-0000B4000000}"/>
    <cellStyle name="Note 3 9 16" xfId="3524" xr:uid="{00000000-0005-0000-0000-0000B4000000}"/>
    <cellStyle name="Note 3 9 17" xfId="3918" xr:uid="{00000000-0005-0000-0000-0000B4000000}"/>
    <cellStyle name="Note 3 9 18" xfId="4014" xr:uid="{00000000-0005-0000-0000-0000B4000000}"/>
    <cellStyle name="Note 3 9 19" xfId="4248" xr:uid="{00000000-0005-0000-0000-0000B4000000}"/>
    <cellStyle name="Note 3 9 2" xfId="257" xr:uid="{00000000-0005-0000-0000-0000B5000000}"/>
    <cellStyle name="Note 3 9 2 10" xfId="2455" xr:uid="{00000000-0005-0000-0000-0000B5000000}"/>
    <cellStyle name="Note 3 9 2 11" xfId="2693" xr:uid="{00000000-0005-0000-0000-0000B5000000}"/>
    <cellStyle name="Note 3 9 2 12" xfId="2716" xr:uid="{00000000-0005-0000-0000-0000B5000000}"/>
    <cellStyle name="Note 3 9 2 13" xfId="3177" xr:uid="{00000000-0005-0000-0000-0000B5000000}"/>
    <cellStyle name="Note 3 9 2 14" xfId="2947" xr:uid="{00000000-0005-0000-0000-0000B5000000}"/>
    <cellStyle name="Note 3 9 2 15" xfId="3645" xr:uid="{00000000-0005-0000-0000-0000B5000000}"/>
    <cellStyle name="Note 3 9 2 16" xfId="3892" xr:uid="{00000000-0005-0000-0000-0000B5000000}"/>
    <cellStyle name="Note 3 9 2 17" xfId="4101" xr:uid="{00000000-0005-0000-0000-0000B5000000}"/>
    <cellStyle name="Note 3 9 2 18" xfId="4369" xr:uid="{00000000-0005-0000-0000-0000B5000000}"/>
    <cellStyle name="Note 3 9 2 19" xfId="4568" xr:uid="{00000000-0005-0000-0000-0000B5000000}"/>
    <cellStyle name="Note 3 9 2 2" xfId="537" xr:uid="{00000000-0005-0000-0000-0000B5000000}"/>
    <cellStyle name="Note 3 9 2 20" xfId="4818" xr:uid="{00000000-0005-0000-0000-0000B5000000}"/>
    <cellStyle name="Note 3 9 2 3" xfId="300" xr:uid="{00000000-0005-0000-0000-0000B5000000}"/>
    <cellStyle name="Note 3 9 2 4" xfId="790" xr:uid="{00000000-0005-0000-0000-0000B5000000}"/>
    <cellStyle name="Note 3 9 2 5" xfId="1229" xr:uid="{00000000-0005-0000-0000-0000B5000000}"/>
    <cellStyle name="Note 3 9 2 6" xfId="1466" xr:uid="{00000000-0005-0000-0000-0000B5000000}"/>
    <cellStyle name="Note 3 9 2 7" xfId="1702" xr:uid="{00000000-0005-0000-0000-0000B5000000}"/>
    <cellStyle name="Note 3 9 2 8" xfId="1938" xr:uid="{00000000-0005-0000-0000-0000B5000000}"/>
    <cellStyle name="Note 3 9 2 9" xfId="2218" xr:uid="{00000000-0005-0000-0000-0000B5000000}"/>
    <cellStyle name="Note 3 9 20" xfId="4429" xr:uid="{00000000-0005-0000-0000-0000B4000000}"/>
    <cellStyle name="Note 3 9 21" xfId="4698" xr:uid="{00000000-0005-0000-0000-0000B4000000}"/>
    <cellStyle name="Note 3 9 3" xfId="416" xr:uid="{00000000-0005-0000-0000-0000B4000000}"/>
    <cellStyle name="Note 3 9 4" xfId="679" xr:uid="{00000000-0005-0000-0000-0000B4000000}"/>
    <cellStyle name="Note 3 9 5" xfId="808" xr:uid="{00000000-0005-0000-0000-0000B4000000}"/>
    <cellStyle name="Note 3 9 6" xfId="1109" xr:uid="{00000000-0005-0000-0000-0000B4000000}"/>
    <cellStyle name="Note 3 9 7" xfId="1346" xr:uid="{00000000-0005-0000-0000-0000B4000000}"/>
    <cellStyle name="Note 3 9 8" xfId="1582" xr:uid="{00000000-0005-0000-0000-0000B4000000}"/>
    <cellStyle name="Note 3 9 9" xfId="1818" xr:uid="{00000000-0005-0000-0000-0000B4000000}"/>
    <cellStyle name="Output 2" xfId="35" xr:uid="{00000000-0005-0000-0000-0000B6000000}"/>
    <cellStyle name="Output 2 10" xfId="103" xr:uid="{00000000-0005-0000-0000-0000B7000000}"/>
    <cellStyle name="Output 2 10 10" xfId="2064" xr:uid="{00000000-0005-0000-0000-0000B7000000}"/>
    <cellStyle name="Output 2 10 11" xfId="2381" xr:uid="{00000000-0005-0000-0000-0000B7000000}"/>
    <cellStyle name="Output 2 10 12" xfId="2619" xr:uid="{00000000-0005-0000-0000-0000B7000000}"/>
    <cellStyle name="Output 2 10 13" xfId="2917" xr:uid="{00000000-0005-0000-0000-0000B7000000}"/>
    <cellStyle name="Output 2 10 14" xfId="3023" xr:uid="{00000000-0005-0000-0000-0000B7000000}"/>
    <cellStyle name="Output 2 10 15" xfId="3393" xr:uid="{00000000-0005-0000-0000-0000B7000000}"/>
    <cellStyle name="Output 2 10 16" xfId="3491" xr:uid="{00000000-0005-0000-0000-0000B7000000}"/>
    <cellStyle name="Output 2 10 17" xfId="3818" xr:uid="{00000000-0005-0000-0000-0000B7000000}"/>
    <cellStyle name="Output 2 10 18" xfId="4110" xr:uid="{00000000-0005-0000-0000-0000B7000000}"/>
    <cellStyle name="Output 2 10 19" xfId="4215" xr:uid="{00000000-0005-0000-0000-0000B7000000}"/>
    <cellStyle name="Output 2 10 2" xfId="224" xr:uid="{00000000-0005-0000-0000-0000B8000000}"/>
    <cellStyle name="Output 2 10 2 10" xfId="2275" xr:uid="{00000000-0005-0000-0000-0000B8000000}"/>
    <cellStyle name="Output 2 10 2 11" xfId="2515" xr:uid="{00000000-0005-0000-0000-0000B8000000}"/>
    <cellStyle name="Output 2 10 2 12" xfId="2842" xr:uid="{00000000-0005-0000-0000-0000B8000000}"/>
    <cellStyle name="Output 2 10 2 13" xfId="3144" xr:uid="{00000000-0005-0000-0000-0000B8000000}"/>
    <cellStyle name="Output 2 10 2 14" xfId="3318" xr:uid="{00000000-0005-0000-0000-0000B8000000}"/>
    <cellStyle name="Output 2 10 2 15" xfId="3612" xr:uid="{00000000-0005-0000-0000-0000B8000000}"/>
    <cellStyle name="Output 2 10 2 16" xfId="3714" xr:uid="{00000000-0005-0000-0000-0000B8000000}"/>
    <cellStyle name="Output 2 10 2 17" xfId="4015" xr:uid="{00000000-0005-0000-0000-0000B8000000}"/>
    <cellStyle name="Output 2 10 2 18" xfId="4336" xr:uid="{00000000-0005-0000-0000-0000B8000000}"/>
    <cellStyle name="Output 2 10 2 19" xfId="4426" xr:uid="{00000000-0005-0000-0000-0000B8000000}"/>
    <cellStyle name="Output 2 10 2 2" xfId="504" xr:uid="{00000000-0005-0000-0000-0000B8000000}"/>
    <cellStyle name="Output 2 10 2 20" xfId="4785" xr:uid="{00000000-0005-0000-0000-0000B8000000}"/>
    <cellStyle name="Output 2 10 2 3" xfId="786" xr:uid="{00000000-0005-0000-0000-0000B8000000}"/>
    <cellStyle name="Output 2 10 2 4" xfId="913" xr:uid="{00000000-0005-0000-0000-0000B8000000}"/>
    <cellStyle name="Output 2 10 2 5" xfId="1196" xr:uid="{00000000-0005-0000-0000-0000B8000000}"/>
    <cellStyle name="Output 2 10 2 6" xfId="1433" xr:uid="{00000000-0005-0000-0000-0000B8000000}"/>
    <cellStyle name="Output 2 10 2 7" xfId="1669" xr:uid="{00000000-0005-0000-0000-0000B8000000}"/>
    <cellStyle name="Output 2 10 2 8" xfId="1905" xr:uid="{00000000-0005-0000-0000-0000B8000000}"/>
    <cellStyle name="Output 2 10 2 9" xfId="2185" xr:uid="{00000000-0005-0000-0000-0000B8000000}"/>
    <cellStyle name="Output 2 10 20" xfId="4422" xr:uid="{00000000-0005-0000-0000-0000B7000000}"/>
    <cellStyle name="Output 2 10 21" xfId="4665" xr:uid="{00000000-0005-0000-0000-0000B7000000}"/>
    <cellStyle name="Output 2 10 3" xfId="383" xr:uid="{00000000-0005-0000-0000-0000B7000000}"/>
    <cellStyle name="Output 2 10 4" xfId="615" xr:uid="{00000000-0005-0000-0000-0000B7000000}"/>
    <cellStyle name="Output 2 10 5" xfId="983" xr:uid="{00000000-0005-0000-0000-0000B7000000}"/>
    <cellStyle name="Output 2 10 6" xfId="1076" xr:uid="{00000000-0005-0000-0000-0000B7000000}"/>
    <cellStyle name="Output 2 10 7" xfId="1313" xr:uid="{00000000-0005-0000-0000-0000B7000000}"/>
    <cellStyle name="Output 2 10 8" xfId="1549" xr:uid="{00000000-0005-0000-0000-0000B7000000}"/>
    <cellStyle name="Output 2 10 9" xfId="1785" xr:uid="{00000000-0005-0000-0000-0000B7000000}"/>
    <cellStyle name="Output 2 11" xfId="117" xr:uid="{00000000-0005-0000-0000-0000B9000000}"/>
    <cellStyle name="Output 2 11 10" xfId="2078" xr:uid="{00000000-0005-0000-0000-0000B9000000}"/>
    <cellStyle name="Output 2 11 11" xfId="2331" xr:uid="{00000000-0005-0000-0000-0000B9000000}"/>
    <cellStyle name="Output 2 11 12" xfId="2571" xr:uid="{00000000-0005-0000-0000-0000B9000000}"/>
    <cellStyle name="Output 2 11 13" xfId="2832" xr:uid="{00000000-0005-0000-0000-0000B9000000}"/>
    <cellStyle name="Output 2 11 14" xfId="3037" xr:uid="{00000000-0005-0000-0000-0000B9000000}"/>
    <cellStyle name="Output 2 11 15" xfId="3308" xr:uid="{00000000-0005-0000-0000-0000B9000000}"/>
    <cellStyle name="Output 2 11 16" xfId="3505" xr:uid="{00000000-0005-0000-0000-0000B9000000}"/>
    <cellStyle name="Output 2 11 17" xfId="3769" xr:uid="{00000000-0005-0000-0000-0000B9000000}"/>
    <cellStyle name="Output 2 11 18" xfId="4106" xr:uid="{00000000-0005-0000-0000-0000B9000000}"/>
    <cellStyle name="Output 2 11 19" xfId="4229" xr:uid="{00000000-0005-0000-0000-0000B9000000}"/>
    <cellStyle name="Output 2 11 2" xfId="238" xr:uid="{00000000-0005-0000-0000-0000BA000000}"/>
    <cellStyle name="Output 2 11 2 10" xfId="2300" xr:uid="{00000000-0005-0000-0000-0000BA000000}"/>
    <cellStyle name="Output 2 11 2 11" xfId="2540" xr:uid="{00000000-0005-0000-0000-0000BA000000}"/>
    <cellStyle name="Output 2 11 2 12" xfId="2874" xr:uid="{00000000-0005-0000-0000-0000BA000000}"/>
    <cellStyle name="Output 2 11 2 13" xfId="3158" xr:uid="{00000000-0005-0000-0000-0000BA000000}"/>
    <cellStyle name="Output 2 11 2 14" xfId="3350" xr:uid="{00000000-0005-0000-0000-0000BA000000}"/>
    <cellStyle name="Output 2 11 2 15" xfId="3626" xr:uid="{00000000-0005-0000-0000-0000BA000000}"/>
    <cellStyle name="Output 2 11 2 16" xfId="3739" xr:uid="{00000000-0005-0000-0000-0000BA000000}"/>
    <cellStyle name="Output 2 11 2 17" xfId="3915" xr:uid="{00000000-0005-0000-0000-0000BA000000}"/>
    <cellStyle name="Output 2 11 2 18" xfId="4350" xr:uid="{00000000-0005-0000-0000-0000BA000000}"/>
    <cellStyle name="Output 2 11 2 19" xfId="4492" xr:uid="{00000000-0005-0000-0000-0000BA000000}"/>
    <cellStyle name="Output 2 11 2 2" xfId="518" xr:uid="{00000000-0005-0000-0000-0000BA000000}"/>
    <cellStyle name="Output 2 11 2 20" xfId="4799" xr:uid="{00000000-0005-0000-0000-0000BA000000}"/>
    <cellStyle name="Output 2 11 2 3" xfId="574" xr:uid="{00000000-0005-0000-0000-0000BA000000}"/>
    <cellStyle name="Output 2 11 2 4" xfId="943" xr:uid="{00000000-0005-0000-0000-0000BA000000}"/>
    <cellStyle name="Output 2 11 2 5" xfId="1210" xr:uid="{00000000-0005-0000-0000-0000BA000000}"/>
    <cellStyle name="Output 2 11 2 6" xfId="1447" xr:uid="{00000000-0005-0000-0000-0000BA000000}"/>
    <cellStyle name="Output 2 11 2 7" xfId="1683" xr:uid="{00000000-0005-0000-0000-0000BA000000}"/>
    <cellStyle name="Output 2 11 2 8" xfId="1919" xr:uid="{00000000-0005-0000-0000-0000BA000000}"/>
    <cellStyle name="Output 2 11 2 9" xfId="2199" xr:uid="{00000000-0005-0000-0000-0000BA000000}"/>
    <cellStyle name="Output 2 11 20" xfId="4598" xr:uid="{00000000-0005-0000-0000-0000B9000000}"/>
    <cellStyle name="Output 2 11 21" xfId="4679" xr:uid="{00000000-0005-0000-0000-0000B9000000}"/>
    <cellStyle name="Output 2 11 3" xfId="397" xr:uid="{00000000-0005-0000-0000-0000B9000000}"/>
    <cellStyle name="Output 2 11 4" xfId="781" xr:uid="{00000000-0005-0000-0000-0000B9000000}"/>
    <cellStyle name="Output 2 11 5" xfId="904" xr:uid="{00000000-0005-0000-0000-0000B9000000}"/>
    <cellStyle name="Output 2 11 6" xfId="1090" xr:uid="{00000000-0005-0000-0000-0000B9000000}"/>
    <cellStyle name="Output 2 11 7" xfId="1327" xr:uid="{00000000-0005-0000-0000-0000B9000000}"/>
    <cellStyle name="Output 2 11 8" xfId="1563" xr:uid="{00000000-0005-0000-0000-0000B9000000}"/>
    <cellStyle name="Output 2 11 9" xfId="1799" xr:uid="{00000000-0005-0000-0000-0000B9000000}"/>
    <cellStyle name="Output 2 12" xfId="125" xr:uid="{00000000-0005-0000-0000-0000BB000000}"/>
    <cellStyle name="Output 2 12 10" xfId="2086" xr:uid="{00000000-0005-0000-0000-0000BB000000}"/>
    <cellStyle name="Output 2 12 11" xfId="2355" xr:uid="{00000000-0005-0000-0000-0000BB000000}"/>
    <cellStyle name="Output 2 12 12" xfId="2594" xr:uid="{00000000-0005-0000-0000-0000BB000000}"/>
    <cellStyle name="Output 2 12 13" xfId="2901" xr:uid="{00000000-0005-0000-0000-0000BB000000}"/>
    <cellStyle name="Output 2 12 14" xfId="3045" xr:uid="{00000000-0005-0000-0000-0000BB000000}"/>
    <cellStyle name="Output 2 12 15" xfId="3377" xr:uid="{00000000-0005-0000-0000-0000BB000000}"/>
    <cellStyle name="Output 2 12 16" xfId="3513" xr:uid="{00000000-0005-0000-0000-0000BB000000}"/>
    <cellStyle name="Output 2 12 17" xfId="3792" xr:uid="{00000000-0005-0000-0000-0000BB000000}"/>
    <cellStyle name="Output 2 12 18" xfId="4125" xr:uid="{00000000-0005-0000-0000-0000BB000000}"/>
    <cellStyle name="Output 2 12 19" xfId="4237" xr:uid="{00000000-0005-0000-0000-0000BB000000}"/>
    <cellStyle name="Output 2 12 2" xfId="246" xr:uid="{00000000-0005-0000-0000-0000BC000000}"/>
    <cellStyle name="Output 2 12 2 10" xfId="2438" xr:uid="{00000000-0005-0000-0000-0000BC000000}"/>
    <cellStyle name="Output 2 12 2 11" xfId="2676" xr:uid="{00000000-0005-0000-0000-0000BC000000}"/>
    <cellStyle name="Output 2 12 2 12" xfId="2853" xr:uid="{00000000-0005-0000-0000-0000BC000000}"/>
    <cellStyle name="Output 2 12 2 13" xfId="3166" xr:uid="{00000000-0005-0000-0000-0000BC000000}"/>
    <cellStyle name="Output 2 12 2 14" xfId="3329" xr:uid="{00000000-0005-0000-0000-0000BC000000}"/>
    <cellStyle name="Output 2 12 2 15" xfId="3634" xr:uid="{00000000-0005-0000-0000-0000BC000000}"/>
    <cellStyle name="Output 2 12 2 16" xfId="3875" xr:uid="{00000000-0005-0000-0000-0000BC000000}"/>
    <cellStyle name="Output 2 12 2 17" xfId="3967" xr:uid="{00000000-0005-0000-0000-0000BC000000}"/>
    <cellStyle name="Output 2 12 2 18" xfId="4358" xr:uid="{00000000-0005-0000-0000-0000BC000000}"/>
    <cellStyle name="Output 2 12 2 19" xfId="4549" xr:uid="{00000000-0005-0000-0000-0000BC000000}"/>
    <cellStyle name="Output 2 12 2 2" xfId="526" xr:uid="{00000000-0005-0000-0000-0000BC000000}"/>
    <cellStyle name="Output 2 12 2 20" xfId="4807" xr:uid="{00000000-0005-0000-0000-0000BC000000}"/>
    <cellStyle name="Output 2 12 2 3" xfId="779" xr:uid="{00000000-0005-0000-0000-0000BC000000}"/>
    <cellStyle name="Output 2 12 2 4" xfId="923" xr:uid="{00000000-0005-0000-0000-0000BC000000}"/>
    <cellStyle name="Output 2 12 2 5" xfId="1218" xr:uid="{00000000-0005-0000-0000-0000BC000000}"/>
    <cellStyle name="Output 2 12 2 6" xfId="1455" xr:uid="{00000000-0005-0000-0000-0000BC000000}"/>
    <cellStyle name="Output 2 12 2 7" xfId="1691" xr:uid="{00000000-0005-0000-0000-0000BC000000}"/>
    <cellStyle name="Output 2 12 2 8" xfId="1927" xr:uid="{00000000-0005-0000-0000-0000BC000000}"/>
    <cellStyle name="Output 2 12 2 9" xfId="2207" xr:uid="{00000000-0005-0000-0000-0000BC000000}"/>
    <cellStyle name="Output 2 12 20" xfId="4472" xr:uid="{00000000-0005-0000-0000-0000BB000000}"/>
    <cellStyle name="Output 2 12 21" xfId="4687" xr:uid="{00000000-0005-0000-0000-0000BB000000}"/>
    <cellStyle name="Output 2 12 3" xfId="405" xr:uid="{00000000-0005-0000-0000-0000BB000000}"/>
    <cellStyle name="Output 2 12 4" xfId="630" xr:uid="{00000000-0005-0000-0000-0000BB000000}"/>
    <cellStyle name="Output 2 12 5" xfId="967" xr:uid="{00000000-0005-0000-0000-0000BB000000}"/>
    <cellStyle name="Output 2 12 6" xfId="1098" xr:uid="{00000000-0005-0000-0000-0000BB000000}"/>
    <cellStyle name="Output 2 12 7" xfId="1335" xr:uid="{00000000-0005-0000-0000-0000BB000000}"/>
    <cellStyle name="Output 2 12 8" xfId="1571" xr:uid="{00000000-0005-0000-0000-0000BB000000}"/>
    <cellStyle name="Output 2 12 9" xfId="1807" xr:uid="{00000000-0005-0000-0000-0000BB000000}"/>
    <cellStyle name="Output 2 13" xfId="163" xr:uid="{00000000-0005-0000-0000-0000BD000000}"/>
    <cellStyle name="Output 2 13 10" xfId="2270" xr:uid="{00000000-0005-0000-0000-0000BD000000}"/>
    <cellStyle name="Output 2 13 11" xfId="2510" xr:uid="{00000000-0005-0000-0000-0000BD000000}"/>
    <cellStyle name="Output 2 13 12" xfId="2763" xr:uid="{00000000-0005-0000-0000-0000BD000000}"/>
    <cellStyle name="Output 2 13 13" xfId="3083" xr:uid="{00000000-0005-0000-0000-0000BD000000}"/>
    <cellStyle name="Output 2 13 14" xfId="3243" xr:uid="{00000000-0005-0000-0000-0000BD000000}"/>
    <cellStyle name="Output 2 13 15" xfId="3551" xr:uid="{00000000-0005-0000-0000-0000BD000000}"/>
    <cellStyle name="Output 2 13 16" xfId="3709" xr:uid="{00000000-0005-0000-0000-0000BD000000}"/>
    <cellStyle name="Output 2 13 17" xfId="3998" xr:uid="{00000000-0005-0000-0000-0000BD000000}"/>
    <cellStyle name="Output 2 13 18" xfId="4275" xr:uid="{00000000-0005-0000-0000-0000BD000000}"/>
    <cellStyle name="Output 2 13 19" xfId="4500" xr:uid="{00000000-0005-0000-0000-0000BD000000}"/>
    <cellStyle name="Output 2 13 2" xfId="443" xr:uid="{00000000-0005-0000-0000-0000BD000000}"/>
    <cellStyle name="Output 2 13 20" xfId="4724" xr:uid="{00000000-0005-0000-0000-0000BD000000}"/>
    <cellStyle name="Output 2 13 3" xfId="704" xr:uid="{00000000-0005-0000-0000-0000BD000000}"/>
    <cellStyle name="Output 2 13 4" xfId="839" xr:uid="{00000000-0005-0000-0000-0000BD000000}"/>
    <cellStyle name="Output 2 13 5" xfId="1135" xr:uid="{00000000-0005-0000-0000-0000BD000000}"/>
    <cellStyle name="Output 2 13 6" xfId="1372" xr:uid="{00000000-0005-0000-0000-0000BD000000}"/>
    <cellStyle name="Output 2 13 7" xfId="1608" xr:uid="{00000000-0005-0000-0000-0000BD000000}"/>
    <cellStyle name="Output 2 13 8" xfId="1844" xr:uid="{00000000-0005-0000-0000-0000BD000000}"/>
    <cellStyle name="Output 2 13 9" xfId="2124" xr:uid="{00000000-0005-0000-0000-0000BD000000}"/>
    <cellStyle name="Output 2 14" xfId="315" xr:uid="{00000000-0005-0000-0000-0000B6000000}"/>
    <cellStyle name="Output 2 15" xfId="591" xr:uid="{00000000-0005-0000-0000-0000B6000000}"/>
    <cellStyle name="Output 2 16" xfId="947" xr:uid="{00000000-0005-0000-0000-0000B6000000}"/>
    <cellStyle name="Output 2 17" xfId="960" xr:uid="{00000000-0005-0000-0000-0000B6000000}"/>
    <cellStyle name="Output 2 18" xfId="880" xr:uid="{00000000-0005-0000-0000-0000B6000000}"/>
    <cellStyle name="Output 2 19" xfId="831" xr:uid="{00000000-0005-0000-0000-0000B6000000}"/>
    <cellStyle name="Output 2 2" xfId="58" xr:uid="{00000000-0005-0000-0000-0000BE000000}"/>
    <cellStyle name="Output 2 2 10" xfId="2019" xr:uid="{00000000-0005-0000-0000-0000BE000000}"/>
    <cellStyle name="Output 2 2 11" xfId="2304" xr:uid="{00000000-0005-0000-0000-0000BE000000}"/>
    <cellStyle name="Output 2 2 12" xfId="2544" xr:uid="{00000000-0005-0000-0000-0000BE000000}"/>
    <cellStyle name="Output 2 2 13" xfId="2775" xr:uid="{00000000-0005-0000-0000-0000BE000000}"/>
    <cellStyle name="Output 2 2 14" xfId="2978" xr:uid="{00000000-0005-0000-0000-0000BE000000}"/>
    <cellStyle name="Output 2 2 15" xfId="3255" xr:uid="{00000000-0005-0000-0000-0000BE000000}"/>
    <cellStyle name="Output 2 2 16" xfId="3446" xr:uid="{00000000-0005-0000-0000-0000BE000000}"/>
    <cellStyle name="Output 2 2 17" xfId="3743" xr:uid="{00000000-0005-0000-0000-0000BE000000}"/>
    <cellStyle name="Output 2 2 18" xfId="4052" xr:uid="{00000000-0005-0000-0000-0000BE000000}"/>
    <cellStyle name="Output 2 2 19" xfId="4170" xr:uid="{00000000-0005-0000-0000-0000BE000000}"/>
    <cellStyle name="Output 2 2 2" xfId="179" xr:uid="{00000000-0005-0000-0000-0000BF000000}"/>
    <cellStyle name="Output 2 2 2 10" xfId="2322" xr:uid="{00000000-0005-0000-0000-0000BF000000}"/>
    <cellStyle name="Output 2 2 2 11" xfId="2562" xr:uid="{00000000-0005-0000-0000-0000BF000000}"/>
    <cellStyle name="Output 2 2 2 12" xfId="2782" xr:uid="{00000000-0005-0000-0000-0000BF000000}"/>
    <cellStyle name="Output 2 2 2 13" xfId="3099" xr:uid="{00000000-0005-0000-0000-0000BF000000}"/>
    <cellStyle name="Output 2 2 2 14" xfId="3261" xr:uid="{00000000-0005-0000-0000-0000BF000000}"/>
    <cellStyle name="Output 2 2 2 15" xfId="3567" xr:uid="{00000000-0005-0000-0000-0000BF000000}"/>
    <cellStyle name="Output 2 2 2 16" xfId="3760" xr:uid="{00000000-0005-0000-0000-0000BF000000}"/>
    <cellStyle name="Output 2 2 2 17" xfId="3986" xr:uid="{00000000-0005-0000-0000-0000BF000000}"/>
    <cellStyle name="Output 2 2 2 18" xfId="4291" xr:uid="{00000000-0005-0000-0000-0000BF000000}"/>
    <cellStyle name="Output 2 2 2 19" xfId="4428" xr:uid="{00000000-0005-0000-0000-0000BF000000}"/>
    <cellStyle name="Output 2 2 2 2" xfId="459" xr:uid="{00000000-0005-0000-0000-0000BF000000}"/>
    <cellStyle name="Output 2 2 2 20" xfId="4740" xr:uid="{00000000-0005-0000-0000-0000BF000000}"/>
    <cellStyle name="Output 2 2 2 3" xfId="719" xr:uid="{00000000-0005-0000-0000-0000BF000000}"/>
    <cellStyle name="Output 2 2 2 4" xfId="858" xr:uid="{00000000-0005-0000-0000-0000BF000000}"/>
    <cellStyle name="Output 2 2 2 5" xfId="1151" xr:uid="{00000000-0005-0000-0000-0000BF000000}"/>
    <cellStyle name="Output 2 2 2 6" xfId="1388" xr:uid="{00000000-0005-0000-0000-0000BF000000}"/>
    <cellStyle name="Output 2 2 2 7" xfId="1624" xr:uid="{00000000-0005-0000-0000-0000BF000000}"/>
    <cellStyle name="Output 2 2 2 8" xfId="1860" xr:uid="{00000000-0005-0000-0000-0000BF000000}"/>
    <cellStyle name="Output 2 2 2 9" xfId="2140" xr:uid="{00000000-0005-0000-0000-0000BF000000}"/>
    <cellStyle name="Output 2 2 20" xfId="4480" xr:uid="{00000000-0005-0000-0000-0000BE000000}"/>
    <cellStyle name="Output 2 2 21" xfId="4620" xr:uid="{00000000-0005-0000-0000-0000BE000000}"/>
    <cellStyle name="Output 2 2 3" xfId="338" xr:uid="{00000000-0005-0000-0000-0000BE000000}"/>
    <cellStyle name="Output 2 2 4" xfId="724" xr:uid="{00000000-0005-0000-0000-0000BE000000}"/>
    <cellStyle name="Output 2 2 5" xfId="851" xr:uid="{00000000-0005-0000-0000-0000BE000000}"/>
    <cellStyle name="Output 2 2 6" xfId="1031" xr:uid="{00000000-0005-0000-0000-0000BE000000}"/>
    <cellStyle name="Output 2 2 7" xfId="1268" xr:uid="{00000000-0005-0000-0000-0000BE000000}"/>
    <cellStyle name="Output 2 2 8" xfId="1504" xr:uid="{00000000-0005-0000-0000-0000BE000000}"/>
    <cellStyle name="Output 2 2 9" xfId="1740" xr:uid="{00000000-0005-0000-0000-0000BE000000}"/>
    <cellStyle name="Output 2 20" xfId="850" xr:uid="{00000000-0005-0000-0000-0000B6000000}"/>
    <cellStyle name="Output 2 21" xfId="1996" xr:uid="{00000000-0005-0000-0000-0000B6000000}"/>
    <cellStyle name="Output 2 22" xfId="1964" xr:uid="{00000000-0005-0000-0000-0000B6000000}"/>
    <cellStyle name="Output 2 23" xfId="2449" xr:uid="{00000000-0005-0000-0000-0000B6000000}"/>
    <cellStyle name="Output 2 24" xfId="2878" xr:uid="{00000000-0005-0000-0000-0000B6000000}"/>
    <cellStyle name="Output 2 25" xfId="2955" xr:uid="{00000000-0005-0000-0000-0000B6000000}"/>
    <cellStyle name="Output 2 26" xfId="3354" xr:uid="{00000000-0005-0000-0000-0000B6000000}"/>
    <cellStyle name="Output 2 27" xfId="3370" xr:uid="{00000000-0005-0000-0000-0000B6000000}"/>
    <cellStyle name="Output 2 28" xfId="3680" xr:uid="{00000000-0005-0000-0000-0000B6000000}"/>
    <cellStyle name="Output 2 29" xfId="3958" xr:uid="{00000000-0005-0000-0000-0000B6000000}"/>
    <cellStyle name="Output 2 3" xfId="68" xr:uid="{00000000-0005-0000-0000-0000C0000000}"/>
    <cellStyle name="Output 2 3 10" xfId="2029" xr:uid="{00000000-0005-0000-0000-0000C0000000}"/>
    <cellStyle name="Output 2 3 11" xfId="1962" xr:uid="{00000000-0005-0000-0000-0000C0000000}"/>
    <cellStyle name="Output 2 3 12" xfId="1981" xr:uid="{00000000-0005-0000-0000-0000C0000000}"/>
    <cellStyle name="Output 2 3 13" xfId="2952" xr:uid="{00000000-0005-0000-0000-0000C0000000}"/>
    <cellStyle name="Output 2 3 14" xfId="2988" xr:uid="{00000000-0005-0000-0000-0000C0000000}"/>
    <cellStyle name="Output 2 3 15" xfId="3427" xr:uid="{00000000-0005-0000-0000-0000C0000000}"/>
    <cellStyle name="Output 2 3 16" xfId="3456" xr:uid="{00000000-0005-0000-0000-0000C0000000}"/>
    <cellStyle name="Output 2 3 17" xfId="3428" xr:uid="{00000000-0005-0000-0000-0000C0000000}"/>
    <cellStyle name="Output 2 3 18" xfId="3931" xr:uid="{00000000-0005-0000-0000-0000C0000000}"/>
    <cellStyle name="Output 2 3 19" xfId="4180" xr:uid="{00000000-0005-0000-0000-0000C0000000}"/>
    <cellStyle name="Output 2 3 2" xfId="189" xr:uid="{00000000-0005-0000-0000-0000C1000000}"/>
    <cellStyle name="Output 2 3 2 10" xfId="1966" xr:uid="{00000000-0005-0000-0000-0000C1000000}"/>
    <cellStyle name="Output 2 3 2 11" xfId="2252" xr:uid="{00000000-0005-0000-0000-0000C1000000}"/>
    <cellStyle name="Output 2 3 2 12" xfId="2728" xr:uid="{00000000-0005-0000-0000-0000C1000000}"/>
    <cellStyle name="Output 2 3 2 13" xfId="3109" xr:uid="{00000000-0005-0000-0000-0000C1000000}"/>
    <cellStyle name="Output 2 3 2 14" xfId="3210" xr:uid="{00000000-0005-0000-0000-0000C1000000}"/>
    <cellStyle name="Output 2 3 2 15" xfId="3577" xr:uid="{00000000-0005-0000-0000-0000C1000000}"/>
    <cellStyle name="Output 2 3 2 16" xfId="3678" xr:uid="{00000000-0005-0000-0000-0000C1000000}"/>
    <cellStyle name="Output 2 3 2 17" xfId="4036" xr:uid="{00000000-0005-0000-0000-0000C1000000}"/>
    <cellStyle name="Output 2 3 2 18" xfId="4301" xr:uid="{00000000-0005-0000-0000-0000C1000000}"/>
    <cellStyle name="Output 2 3 2 19" xfId="4498" xr:uid="{00000000-0005-0000-0000-0000C1000000}"/>
    <cellStyle name="Output 2 3 2 2" xfId="469" xr:uid="{00000000-0005-0000-0000-0000C1000000}"/>
    <cellStyle name="Output 2 3 2 20" xfId="4750" xr:uid="{00000000-0005-0000-0000-0000C1000000}"/>
    <cellStyle name="Output 2 3 2 3" xfId="680" xr:uid="{00000000-0005-0000-0000-0000C1000000}"/>
    <cellStyle name="Output 2 3 2 4" xfId="807" xr:uid="{00000000-0005-0000-0000-0000C1000000}"/>
    <cellStyle name="Output 2 3 2 5" xfId="1161" xr:uid="{00000000-0005-0000-0000-0000C1000000}"/>
    <cellStyle name="Output 2 3 2 6" xfId="1398" xr:uid="{00000000-0005-0000-0000-0000C1000000}"/>
    <cellStyle name="Output 2 3 2 7" xfId="1634" xr:uid="{00000000-0005-0000-0000-0000C1000000}"/>
    <cellStyle name="Output 2 3 2 8" xfId="1870" xr:uid="{00000000-0005-0000-0000-0000C1000000}"/>
    <cellStyle name="Output 2 3 2 9" xfId="2150" xr:uid="{00000000-0005-0000-0000-0000C1000000}"/>
    <cellStyle name="Output 2 3 20" xfId="4399" xr:uid="{00000000-0005-0000-0000-0000C0000000}"/>
    <cellStyle name="Output 2 3 21" xfId="4630" xr:uid="{00000000-0005-0000-0000-0000C0000000}"/>
    <cellStyle name="Output 2 3 3" xfId="348" xr:uid="{00000000-0005-0000-0000-0000C0000000}"/>
    <cellStyle name="Output 2 3 4" xfId="670" xr:uid="{00000000-0005-0000-0000-0000C0000000}"/>
    <cellStyle name="Output 2 3 5" xfId="1013" xr:uid="{00000000-0005-0000-0000-0000C0000000}"/>
    <cellStyle name="Output 2 3 6" xfId="1041" xr:uid="{00000000-0005-0000-0000-0000C0000000}"/>
    <cellStyle name="Output 2 3 7" xfId="1278" xr:uid="{00000000-0005-0000-0000-0000C0000000}"/>
    <cellStyle name="Output 2 3 8" xfId="1514" xr:uid="{00000000-0005-0000-0000-0000C0000000}"/>
    <cellStyle name="Output 2 3 9" xfId="1750" xr:uid="{00000000-0005-0000-0000-0000C0000000}"/>
    <cellStyle name="Output 2 30" xfId="3936" xr:uid="{00000000-0005-0000-0000-0000B6000000}"/>
    <cellStyle name="Output 2 31" xfId="4415" xr:uid="{00000000-0005-0000-0000-0000B6000000}"/>
    <cellStyle name="Output 2 32" xfId="4495" xr:uid="{00000000-0005-0000-0000-0000B6000000}"/>
    <cellStyle name="Output 2 4" xfId="78" xr:uid="{00000000-0005-0000-0000-0000C2000000}"/>
    <cellStyle name="Output 2 4 10" xfId="2039" xr:uid="{00000000-0005-0000-0000-0000C2000000}"/>
    <cellStyle name="Output 2 4 11" xfId="2337" xr:uid="{00000000-0005-0000-0000-0000C2000000}"/>
    <cellStyle name="Output 2 4 12" xfId="2577" xr:uid="{00000000-0005-0000-0000-0000C2000000}"/>
    <cellStyle name="Output 2 4 13" xfId="2778" xr:uid="{00000000-0005-0000-0000-0000C2000000}"/>
    <cellStyle name="Output 2 4 14" xfId="2998" xr:uid="{00000000-0005-0000-0000-0000C2000000}"/>
    <cellStyle name="Output 2 4 15" xfId="3257" xr:uid="{00000000-0005-0000-0000-0000C2000000}"/>
    <cellStyle name="Output 2 4 16" xfId="3466" xr:uid="{00000000-0005-0000-0000-0000C2000000}"/>
    <cellStyle name="Output 2 4 17" xfId="3775" xr:uid="{00000000-0005-0000-0000-0000C2000000}"/>
    <cellStyle name="Output 2 4 18" xfId="4150" xr:uid="{00000000-0005-0000-0000-0000C2000000}"/>
    <cellStyle name="Output 2 4 19" xfId="4190" xr:uid="{00000000-0005-0000-0000-0000C2000000}"/>
    <cellStyle name="Output 2 4 2" xfId="199" xr:uid="{00000000-0005-0000-0000-0000C3000000}"/>
    <cellStyle name="Output 2 4 2 10" xfId="2319" xr:uid="{00000000-0005-0000-0000-0000C3000000}"/>
    <cellStyle name="Output 2 4 2 11" xfId="2559" xr:uid="{00000000-0005-0000-0000-0000C3000000}"/>
    <cellStyle name="Output 2 4 2 12" xfId="2519" xr:uid="{00000000-0005-0000-0000-0000C3000000}"/>
    <cellStyle name="Output 2 4 2 13" xfId="3119" xr:uid="{00000000-0005-0000-0000-0000C3000000}"/>
    <cellStyle name="Output 2 4 2 14" xfId="2929" xr:uid="{00000000-0005-0000-0000-0000C3000000}"/>
    <cellStyle name="Output 2 4 2 15" xfId="3587" xr:uid="{00000000-0005-0000-0000-0000C3000000}"/>
    <cellStyle name="Output 2 4 2 16" xfId="3757" xr:uid="{00000000-0005-0000-0000-0000C3000000}"/>
    <cellStyle name="Output 2 4 2 17" xfId="3827" xr:uid="{00000000-0005-0000-0000-0000C3000000}"/>
    <cellStyle name="Output 2 4 2 18" xfId="4311" xr:uid="{00000000-0005-0000-0000-0000C3000000}"/>
    <cellStyle name="Output 2 4 2 19" xfId="4532" xr:uid="{00000000-0005-0000-0000-0000C3000000}"/>
    <cellStyle name="Output 2 4 2 2" xfId="479" xr:uid="{00000000-0005-0000-0000-0000C3000000}"/>
    <cellStyle name="Output 2 4 2 20" xfId="4760" xr:uid="{00000000-0005-0000-0000-0000C3000000}"/>
    <cellStyle name="Output 2 4 2 3" xfId="284" xr:uid="{00000000-0005-0000-0000-0000C3000000}"/>
    <cellStyle name="Output 2 4 2 4" xfId="706" xr:uid="{00000000-0005-0000-0000-0000C3000000}"/>
    <cellStyle name="Output 2 4 2 5" xfId="1171" xr:uid="{00000000-0005-0000-0000-0000C3000000}"/>
    <cellStyle name="Output 2 4 2 6" xfId="1408" xr:uid="{00000000-0005-0000-0000-0000C3000000}"/>
    <cellStyle name="Output 2 4 2 7" xfId="1644" xr:uid="{00000000-0005-0000-0000-0000C3000000}"/>
    <cellStyle name="Output 2 4 2 8" xfId="1880" xr:uid="{00000000-0005-0000-0000-0000C3000000}"/>
    <cellStyle name="Output 2 4 2 9" xfId="2160" xr:uid="{00000000-0005-0000-0000-0000C3000000}"/>
    <cellStyle name="Output 2 4 20" xfId="4002" xr:uid="{00000000-0005-0000-0000-0000C2000000}"/>
    <cellStyle name="Output 2 4 21" xfId="4640" xr:uid="{00000000-0005-0000-0000-0000C2000000}"/>
    <cellStyle name="Output 2 4 3" xfId="358" xr:uid="{00000000-0005-0000-0000-0000C2000000}"/>
    <cellStyle name="Output 2 4 4" xfId="709" xr:uid="{00000000-0005-0000-0000-0000C2000000}"/>
    <cellStyle name="Output 2 4 5" xfId="854" xr:uid="{00000000-0005-0000-0000-0000C2000000}"/>
    <cellStyle name="Output 2 4 6" xfId="1051" xr:uid="{00000000-0005-0000-0000-0000C2000000}"/>
    <cellStyle name="Output 2 4 7" xfId="1288" xr:uid="{00000000-0005-0000-0000-0000C2000000}"/>
    <cellStyle name="Output 2 4 8" xfId="1524" xr:uid="{00000000-0005-0000-0000-0000C2000000}"/>
    <cellStyle name="Output 2 4 9" xfId="1760" xr:uid="{00000000-0005-0000-0000-0000C2000000}"/>
    <cellStyle name="Output 2 5" xfId="69" xr:uid="{00000000-0005-0000-0000-0000C4000000}"/>
    <cellStyle name="Output 2 5 10" xfId="2030" xr:uid="{00000000-0005-0000-0000-0000C4000000}"/>
    <cellStyle name="Output 2 5 11" xfId="2323" xr:uid="{00000000-0005-0000-0000-0000C4000000}"/>
    <cellStyle name="Output 2 5 12" xfId="2563" xr:uid="{00000000-0005-0000-0000-0000C4000000}"/>
    <cellStyle name="Output 2 5 13" xfId="2834" xr:uid="{00000000-0005-0000-0000-0000C4000000}"/>
    <cellStyle name="Output 2 5 14" xfId="2989" xr:uid="{00000000-0005-0000-0000-0000C4000000}"/>
    <cellStyle name="Output 2 5 15" xfId="3310" xr:uid="{00000000-0005-0000-0000-0000C4000000}"/>
    <cellStyle name="Output 2 5 16" xfId="3457" xr:uid="{00000000-0005-0000-0000-0000C4000000}"/>
    <cellStyle name="Output 2 5 17" xfId="3761" xr:uid="{00000000-0005-0000-0000-0000C4000000}"/>
    <cellStyle name="Output 2 5 18" xfId="4022" xr:uid="{00000000-0005-0000-0000-0000C4000000}"/>
    <cellStyle name="Output 2 5 19" xfId="4181" xr:uid="{00000000-0005-0000-0000-0000C4000000}"/>
    <cellStyle name="Output 2 5 2" xfId="190" xr:uid="{00000000-0005-0000-0000-0000C5000000}"/>
    <cellStyle name="Output 2 5 2 10" xfId="2426" xr:uid="{00000000-0005-0000-0000-0000C5000000}"/>
    <cellStyle name="Output 2 5 2 11" xfId="2664" xr:uid="{00000000-0005-0000-0000-0000C5000000}"/>
    <cellStyle name="Output 2 5 2 12" xfId="2855" xr:uid="{00000000-0005-0000-0000-0000C5000000}"/>
    <cellStyle name="Output 2 5 2 13" xfId="3110" xr:uid="{00000000-0005-0000-0000-0000C5000000}"/>
    <cellStyle name="Output 2 5 2 14" xfId="3331" xr:uid="{00000000-0005-0000-0000-0000C5000000}"/>
    <cellStyle name="Output 2 5 2 15" xfId="3578" xr:uid="{00000000-0005-0000-0000-0000C5000000}"/>
    <cellStyle name="Output 2 5 2 16" xfId="3863" xr:uid="{00000000-0005-0000-0000-0000C5000000}"/>
    <cellStyle name="Output 2 5 2 17" xfId="3745" xr:uid="{00000000-0005-0000-0000-0000C5000000}"/>
    <cellStyle name="Output 2 5 2 18" xfId="4302" xr:uid="{00000000-0005-0000-0000-0000C5000000}"/>
    <cellStyle name="Output 2 5 2 19" xfId="4398" xr:uid="{00000000-0005-0000-0000-0000C5000000}"/>
    <cellStyle name="Output 2 5 2 2" xfId="470" xr:uid="{00000000-0005-0000-0000-0000C5000000}"/>
    <cellStyle name="Output 2 5 2 20" xfId="4751" xr:uid="{00000000-0005-0000-0000-0000C5000000}"/>
    <cellStyle name="Output 2 5 2 3" xfId="741" xr:uid="{00000000-0005-0000-0000-0000C5000000}"/>
    <cellStyle name="Output 2 5 2 4" xfId="925" xr:uid="{00000000-0005-0000-0000-0000C5000000}"/>
    <cellStyle name="Output 2 5 2 5" xfId="1162" xr:uid="{00000000-0005-0000-0000-0000C5000000}"/>
    <cellStyle name="Output 2 5 2 6" xfId="1399" xr:uid="{00000000-0005-0000-0000-0000C5000000}"/>
    <cellStyle name="Output 2 5 2 7" xfId="1635" xr:uid="{00000000-0005-0000-0000-0000C5000000}"/>
    <cellStyle name="Output 2 5 2 8" xfId="1871" xr:uid="{00000000-0005-0000-0000-0000C5000000}"/>
    <cellStyle name="Output 2 5 2 9" xfId="2151" xr:uid="{00000000-0005-0000-0000-0000C5000000}"/>
    <cellStyle name="Output 2 5 20" xfId="4508" xr:uid="{00000000-0005-0000-0000-0000C4000000}"/>
    <cellStyle name="Output 2 5 21" xfId="4631" xr:uid="{00000000-0005-0000-0000-0000C4000000}"/>
    <cellStyle name="Output 2 5 3" xfId="349" xr:uid="{00000000-0005-0000-0000-0000C4000000}"/>
    <cellStyle name="Output 2 5 4" xfId="783" xr:uid="{00000000-0005-0000-0000-0000C4000000}"/>
    <cellStyle name="Output 2 5 5" xfId="906" xr:uid="{00000000-0005-0000-0000-0000C4000000}"/>
    <cellStyle name="Output 2 5 6" xfId="1042" xr:uid="{00000000-0005-0000-0000-0000C4000000}"/>
    <cellStyle name="Output 2 5 7" xfId="1279" xr:uid="{00000000-0005-0000-0000-0000C4000000}"/>
    <cellStyle name="Output 2 5 8" xfId="1515" xr:uid="{00000000-0005-0000-0000-0000C4000000}"/>
    <cellStyle name="Output 2 5 9" xfId="1751" xr:uid="{00000000-0005-0000-0000-0000C4000000}"/>
    <cellStyle name="Output 2 6" xfId="70" xr:uid="{00000000-0005-0000-0000-0000C6000000}"/>
    <cellStyle name="Output 2 6 10" xfId="2031" xr:uid="{00000000-0005-0000-0000-0000C6000000}"/>
    <cellStyle name="Output 2 6 11" xfId="2000" xr:uid="{00000000-0005-0000-0000-0000C6000000}"/>
    <cellStyle name="Output 2 6 12" xfId="2281" xr:uid="{00000000-0005-0000-0000-0000C6000000}"/>
    <cellStyle name="Output 2 6 13" xfId="2946" xr:uid="{00000000-0005-0000-0000-0000C6000000}"/>
    <cellStyle name="Output 2 6 14" xfId="2990" xr:uid="{00000000-0005-0000-0000-0000C6000000}"/>
    <cellStyle name="Output 2 6 15" xfId="3421" xr:uid="{00000000-0005-0000-0000-0000C6000000}"/>
    <cellStyle name="Output 2 6 16" xfId="3458" xr:uid="{00000000-0005-0000-0000-0000C6000000}"/>
    <cellStyle name="Output 2 6 17" xfId="3209" xr:uid="{00000000-0005-0000-0000-0000C6000000}"/>
    <cellStyle name="Output 2 6 18" xfId="4116" xr:uid="{00000000-0005-0000-0000-0000C6000000}"/>
    <cellStyle name="Output 2 6 19" xfId="4182" xr:uid="{00000000-0005-0000-0000-0000C6000000}"/>
    <cellStyle name="Output 2 6 2" xfId="191" xr:uid="{00000000-0005-0000-0000-0000C7000000}"/>
    <cellStyle name="Output 2 6 2 10" xfId="2419" xr:uid="{00000000-0005-0000-0000-0000C7000000}"/>
    <cellStyle name="Output 2 6 2 11" xfId="2657" xr:uid="{00000000-0005-0000-0000-0000C7000000}"/>
    <cellStyle name="Output 2 6 2 12" xfId="2736" xr:uid="{00000000-0005-0000-0000-0000C7000000}"/>
    <cellStyle name="Output 2 6 2 13" xfId="3111" xr:uid="{00000000-0005-0000-0000-0000C7000000}"/>
    <cellStyle name="Output 2 6 2 14" xfId="3218" xr:uid="{00000000-0005-0000-0000-0000C7000000}"/>
    <cellStyle name="Output 2 6 2 15" xfId="3579" xr:uid="{00000000-0005-0000-0000-0000C7000000}"/>
    <cellStyle name="Output 2 6 2 16" xfId="3856" xr:uid="{00000000-0005-0000-0000-0000C7000000}"/>
    <cellStyle name="Output 2 6 2 17" xfId="3693" xr:uid="{00000000-0005-0000-0000-0000C7000000}"/>
    <cellStyle name="Output 2 6 2 18" xfId="4303" xr:uid="{00000000-0005-0000-0000-0000C7000000}"/>
    <cellStyle name="Output 2 6 2 19" xfId="4562" xr:uid="{00000000-0005-0000-0000-0000C7000000}"/>
    <cellStyle name="Output 2 6 2 2" xfId="471" xr:uid="{00000000-0005-0000-0000-0000C7000000}"/>
    <cellStyle name="Output 2 6 2 20" xfId="4752" xr:uid="{00000000-0005-0000-0000-0000C7000000}"/>
    <cellStyle name="Output 2 6 2 3" xfId="622" xr:uid="{00000000-0005-0000-0000-0000C7000000}"/>
    <cellStyle name="Output 2 6 2 4" xfId="815" xr:uid="{00000000-0005-0000-0000-0000C7000000}"/>
    <cellStyle name="Output 2 6 2 5" xfId="1163" xr:uid="{00000000-0005-0000-0000-0000C7000000}"/>
    <cellStyle name="Output 2 6 2 6" xfId="1400" xr:uid="{00000000-0005-0000-0000-0000C7000000}"/>
    <cellStyle name="Output 2 6 2 7" xfId="1636" xr:uid="{00000000-0005-0000-0000-0000C7000000}"/>
    <cellStyle name="Output 2 6 2 8" xfId="1872" xr:uid="{00000000-0005-0000-0000-0000C7000000}"/>
    <cellStyle name="Output 2 6 2 9" xfId="2152" xr:uid="{00000000-0005-0000-0000-0000C7000000}"/>
    <cellStyle name="Output 2 6 20" xfId="4425" xr:uid="{00000000-0005-0000-0000-0000C6000000}"/>
    <cellStyle name="Output 2 6 21" xfId="4632" xr:uid="{00000000-0005-0000-0000-0000C6000000}"/>
    <cellStyle name="Output 2 6 3" xfId="350" xr:uid="{00000000-0005-0000-0000-0000C6000000}"/>
    <cellStyle name="Output 2 6 4" xfId="664" xr:uid="{00000000-0005-0000-0000-0000C6000000}"/>
    <cellStyle name="Output 2 6 5" xfId="1008" xr:uid="{00000000-0005-0000-0000-0000C6000000}"/>
    <cellStyle name="Output 2 6 6" xfId="1043" xr:uid="{00000000-0005-0000-0000-0000C6000000}"/>
    <cellStyle name="Output 2 6 7" xfId="1280" xr:uid="{00000000-0005-0000-0000-0000C6000000}"/>
    <cellStyle name="Output 2 6 8" xfId="1516" xr:uid="{00000000-0005-0000-0000-0000C6000000}"/>
    <cellStyle name="Output 2 6 9" xfId="1752" xr:uid="{00000000-0005-0000-0000-0000C6000000}"/>
    <cellStyle name="Output 2 7" xfId="115" xr:uid="{00000000-0005-0000-0000-0000C8000000}"/>
    <cellStyle name="Output 2 7 10" xfId="2076" xr:uid="{00000000-0005-0000-0000-0000C8000000}"/>
    <cellStyle name="Output 2 7 11" xfId="2387" xr:uid="{00000000-0005-0000-0000-0000C8000000}"/>
    <cellStyle name="Output 2 7 12" xfId="2625" xr:uid="{00000000-0005-0000-0000-0000C8000000}"/>
    <cellStyle name="Output 2 7 13" xfId="2843" xr:uid="{00000000-0005-0000-0000-0000C8000000}"/>
    <cellStyle name="Output 2 7 14" xfId="3035" xr:uid="{00000000-0005-0000-0000-0000C8000000}"/>
    <cellStyle name="Output 2 7 15" xfId="3319" xr:uid="{00000000-0005-0000-0000-0000C8000000}"/>
    <cellStyle name="Output 2 7 16" xfId="3503" xr:uid="{00000000-0005-0000-0000-0000C8000000}"/>
    <cellStyle name="Output 2 7 17" xfId="3824" xr:uid="{00000000-0005-0000-0000-0000C8000000}"/>
    <cellStyle name="Output 2 7 18" xfId="4072" xr:uid="{00000000-0005-0000-0000-0000C8000000}"/>
    <cellStyle name="Output 2 7 19" xfId="4227" xr:uid="{00000000-0005-0000-0000-0000C8000000}"/>
    <cellStyle name="Output 2 7 2" xfId="236" xr:uid="{00000000-0005-0000-0000-0000C9000000}"/>
    <cellStyle name="Output 2 7 2 10" xfId="2464" xr:uid="{00000000-0005-0000-0000-0000C9000000}"/>
    <cellStyle name="Output 2 7 2 11" xfId="2702" xr:uid="{00000000-0005-0000-0000-0000C9000000}"/>
    <cellStyle name="Output 2 7 2 12" xfId="2904" xr:uid="{00000000-0005-0000-0000-0000C9000000}"/>
    <cellStyle name="Output 2 7 2 13" xfId="3156" xr:uid="{00000000-0005-0000-0000-0000C9000000}"/>
    <cellStyle name="Output 2 7 2 14" xfId="3380" xr:uid="{00000000-0005-0000-0000-0000C9000000}"/>
    <cellStyle name="Output 2 7 2 15" xfId="3624" xr:uid="{00000000-0005-0000-0000-0000C9000000}"/>
    <cellStyle name="Output 2 7 2 16" xfId="3901" xr:uid="{00000000-0005-0000-0000-0000C9000000}"/>
    <cellStyle name="Output 2 7 2 17" xfId="4032" xr:uid="{00000000-0005-0000-0000-0000C9000000}"/>
    <cellStyle name="Output 2 7 2 18" xfId="4348" xr:uid="{00000000-0005-0000-0000-0000C9000000}"/>
    <cellStyle name="Output 2 7 2 19" xfId="4401" xr:uid="{00000000-0005-0000-0000-0000C9000000}"/>
    <cellStyle name="Output 2 7 2 2" xfId="516" xr:uid="{00000000-0005-0000-0000-0000C9000000}"/>
    <cellStyle name="Output 2 7 2 20" xfId="4797" xr:uid="{00000000-0005-0000-0000-0000C9000000}"/>
    <cellStyle name="Output 2 7 2 3" xfId="597" xr:uid="{00000000-0005-0000-0000-0000C9000000}"/>
    <cellStyle name="Output 2 7 2 4" xfId="970" xr:uid="{00000000-0005-0000-0000-0000C9000000}"/>
    <cellStyle name="Output 2 7 2 5" xfId="1208" xr:uid="{00000000-0005-0000-0000-0000C9000000}"/>
    <cellStyle name="Output 2 7 2 6" xfId="1445" xr:uid="{00000000-0005-0000-0000-0000C9000000}"/>
    <cellStyle name="Output 2 7 2 7" xfId="1681" xr:uid="{00000000-0005-0000-0000-0000C9000000}"/>
    <cellStyle name="Output 2 7 2 8" xfId="1917" xr:uid="{00000000-0005-0000-0000-0000C9000000}"/>
    <cellStyle name="Output 2 7 2 9" xfId="2197" xr:uid="{00000000-0005-0000-0000-0000C9000000}"/>
    <cellStyle name="Output 2 7 20" xfId="4395" xr:uid="{00000000-0005-0000-0000-0000C8000000}"/>
    <cellStyle name="Output 2 7 21" xfId="4677" xr:uid="{00000000-0005-0000-0000-0000C8000000}"/>
    <cellStyle name="Output 2 7 3" xfId="395" xr:uid="{00000000-0005-0000-0000-0000C8000000}"/>
    <cellStyle name="Output 2 7 4" xfId="787" xr:uid="{00000000-0005-0000-0000-0000C8000000}"/>
    <cellStyle name="Output 2 7 5" xfId="914" xr:uid="{00000000-0005-0000-0000-0000C8000000}"/>
    <cellStyle name="Output 2 7 6" xfId="1088" xr:uid="{00000000-0005-0000-0000-0000C8000000}"/>
    <cellStyle name="Output 2 7 7" xfId="1325" xr:uid="{00000000-0005-0000-0000-0000C8000000}"/>
    <cellStyle name="Output 2 7 8" xfId="1561" xr:uid="{00000000-0005-0000-0000-0000C8000000}"/>
    <cellStyle name="Output 2 7 9" xfId="1797" xr:uid="{00000000-0005-0000-0000-0000C8000000}"/>
    <cellStyle name="Output 2 8" xfId="100" xr:uid="{00000000-0005-0000-0000-0000CA000000}"/>
    <cellStyle name="Output 2 8 10" xfId="2061" xr:uid="{00000000-0005-0000-0000-0000CA000000}"/>
    <cellStyle name="Output 2 8 11" xfId="2251" xr:uid="{00000000-0005-0000-0000-0000CA000000}"/>
    <cellStyle name="Output 2 8 12" xfId="2491" xr:uid="{00000000-0005-0000-0000-0000CA000000}"/>
    <cellStyle name="Output 2 8 13" xfId="2813" xr:uid="{00000000-0005-0000-0000-0000CA000000}"/>
    <cellStyle name="Output 2 8 14" xfId="3020" xr:uid="{00000000-0005-0000-0000-0000CA000000}"/>
    <cellStyle name="Output 2 8 15" xfId="3290" xr:uid="{00000000-0005-0000-0000-0000CA000000}"/>
    <cellStyle name="Output 2 8 16" xfId="3488" xr:uid="{00000000-0005-0000-0000-0000CA000000}"/>
    <cellStyle name="Output 2 8 17" xfId="3691" xr:uid="{00000000-0005-0000-0000-0000CA000000}"/>
    <cellStyle name="Output 2 8 18" xfId="3777" xr:uid="{00000000-0005-0000-0000-0000CA000000}"/>
    <cellStyle name="Output 2 8 19" xfId="4212" xr:uid="{00000000-0005-0000-0000-0000CA000000}"/>
    <cellStyle name="Output 2 8 2" xfId="221" xr:uid="{00000000-0005-0000-0000-0000CB000000}"/>
    <cellStyle name="Output 2 8 2 10" xfId="2467" xr:uid="{00000000-0005-0000-0000-0000CB000000}"/>
    <cellStyle name="Output 2 8 2 11" xfId="2705" xr:uid="{00000000-0005-0000-0000-0000CB000000}"/>
    <cellStyle name="Output 2 8 2 12" xfId="2751" xr:uid="{00000000-0005-0000-0000-0000CB000000}"/>
    <cellStyle name="Output 2 8 2 13" xfId="3141" xr:uid="{00000000-0005-0000-0000-0000CB000000}"/>
    <cellStyle name="Output 2 8 2 14" xfId="3232" xr:uid="{00000000-0005-0000-0000-0000CB000000}"/>
    <cellStyle name="Output 2 8 2 15" xfId="3609" xr:uid="{00000000-0005-0000-0000-0000CB000000}"/>
    <cellStyle name="Output 2 8 2 16" xfId="3904" xr:uid="{00000000-0005-0000-0000-0000CB000000}"/>
    <cellStyle name="Output 2 8 2 17" xfId="3945" xr:uid="{00000000-0005-0000-0000-0000CB000000}"/>
    <cellStyle name="Output 2 8 2 18" xfId="4333" xr:uid="{00000000-0005-0000-0000-0000CB000000}"/>
    <cellStyle name="Output 2 8 2 19" xfId="4534" xr:uid="{00000000-0005-0000-0000-0000CB000000}"/>
    <cellStyle name="Output 2 8 2 2" xfId="501" xr:uid="{00000000-0005-0000-0000-0000CB000000}"/>
    <cellStyle name="Output 2 8 2 20" xfId="4782" xr:uid="{00000000-0005-0000-0000-0000CB000000}"/>
    <cellStyle name="Output 2 8 2 3" xfId="683" xr:uid="{00000000-0005-0000-0000-0000CB000000}"/>
    <cellStyle name="Output 2 8 2 4" xfId="827" xr:uid="{00000000-0005-0000-0000-0000CB000000}"/>
    <cellStyle name="Output 2 8 2 5" xfId="1193" xr:uid="{00000000-0005-0000-0000-0000CB000000}"/>
    <cellStyle name="Output 2 8 2 6" xfId="1430" xr:uid="{00000000-0005-0000-0000-0000CB000000}"/>
    <cellStyle name="Output 2 8 2 7" xfId="1666" xr:uid="{00000000-0005-0000-0000-0000CB000000}"/>
    <cellStyle name="Output 2 8 2 8" xfId="1902" xr:uid="{00000000-0005-0000-0000-0000CB000000}"/>
    <cellStyle name="Output 2 8 2 9" xfId="2182" xr:uid="{00000000-0005-0000-0000-0000CB000000}"/>
    <cellStyle name="Output 2 8 20" xfId="4570" xr:uid="{00000000-0005-0000-0000-0000CA000000}"/>
    <cellStyle name="Output 2 8 21" xfId="4662" xr:uid="{00000000-0005-0000-0000-0000CA000000}"/>
    <cellStyle name="Output 2 8 3" xfId="380" xr:uid="{00000000-0005-0000-0000-0000CA000000}"/>
    <cellStyle name="Output 2 8 4" xfId="760" xr:uid="{00000000-0005-0000-0000-0000CA000000}"/>
    <cellStyle name="Output 2 8 5" xfId="888" xr:uid="{00000000-0005-0000-0000-0000CA000000}"/>
    <cellStyle name="Output 2 8 6" xfId="1073" xr:uid="{00000000-0005-0000-0000-0000CA000000}"/>
    <cellStyle name="Output 2 8 7" xfId="1310" xr:uid="{00000000-0005-0000-0000-0000CA000000}"/>
    <cellStyle name="Output 2 8 8" xfId="1546" xr:uid="{00000000-0005-0000-0000-0000CA000000}"/>
    <cellStyle name="Output 2 8 9" xfId="1782" xr:uid="{00000000-0005-0000-0000-0000CA000000}"/>
    <cellStyle name="Output 2 9" xfId="112" xr:uid="{00000000-0005-0000-0000-0000CC000000}"/>
    <cellStyle name="Output 2 9 10" xfId="2073" xr:uid="{00000000-0005-0000-0000-0000CC000000}"/>
    <cellStyle name="Output 2 9 11" xfId="2346" xr:uid="{00000000-0005-0000-0000-0000CC000000}"/>
    <cellStyle name="Output 2 9 12" xfId="2585" xr:uid="{00000000-0005-0000-0000-0000CC000000}"/>
    <cellStyle name="Output 2 9 13" xfId="2752" xr:uid="{00000000-0005-0000-0000-0000CC000000}"/>
    <cellStyle name="Output 2 9 14" xfId="3032" xr:uid="{00000000-0005-0000-0000-0000CC000000}"/>
    <cellStyle name="Output 2 9 15" xfId="3233" xr:uid="{00000000-0005-0000-0000-0000CC000000}"/>
    <cellStyle name="Output 2 9 16" xfId="3500" xr:uid="{00000000-0005-0000-0000-0000CC000000}"/>
    <cellStyle name="Output 2 9 17" xfId="3783" xr:uid="{00000000-0005-0000-0000-0000CC000000}"/>
    <cellStyle name="Output 2 9 18" xfId="4120" xr:uid="{00000000-0005-0000-0000-0000CC000000}"/>
    <cellStyle name="Output 2 9 19" xfId="4224" xr:uid="{00000000-0005-0000-0000-0000CC000000}"/>
    <cellStyle name="Output 2 9 2" xfId="233" xr:uid="{00000000-0005-0000-0000-0000CD000000}"/>
    <cellStyle name="Output 2 9 2 10" xfId="2350" xr:uid="{00000000-0005-0000-0000-0000CD000000}"/>
    <cellStyle name="Output 2 9 2 11" xfId="2589" xr:uid="{00000000-0005-0000-0000-0000CD000000}"/>
    <cellStyle name="Output 2 9 2 12" xfId="2797" xr:uid="{00000000-0005-0000-0000-0000CD000000}"/>
    <cellStyle name="Output 2 9 2 13" xfId="3153" xr:uid="{00000000-0005-0000-0000-0000CD000000}"/>
    <cellStyle name="Output 2 9 2 14" xfId="3276" xr:uid="{00000000-0005-0000-0000-0000CD000000}"/>
    <cellStyle name="Output 2 9 2 15" xfId="3621" xr:uid="{00000000-0005-0000-0000-0000CD000000}"/>
    <cellStyle name="Output 2 9 2 16" xfId="3787" xr:uid="{00000000-0005-0000-0000-0000CD000000}"/>
    <cellStyle name="Output 2 9 2 17" xfId="3806" xr:uid="{00000000-0005-0000-0000-0000CD000000}"/>
    <cellStyle name="Output 2 9 2 18" xfId="4345" xr:uid="{00000000-0005-0000-0000-0000CD000000}"/>
    <cellStyle name="Output 2 9 2 19" xfId="4484" xr:uid="{00000000-0005-0000-0000-0000CD000000}"/>
    <cellStyle name="Output 2 9 2 2" xfId="513" xr:uid="{00000000-0005-0000-0000-0000CD000000}"/>
    <cellStyle name="Output 2 9 2 20" xfId="4794" xr:uid="{00000000-0005-0000-0000-0000CD000000}"/>
    <cellStyle name="Output 2 9 2 3" xfId="747" xr:uid="{00000000-0005-0000-0000-0000CD000000}"/>
    <cellStyle name="Output 2 9 2 4" xfId="873" xr:uid="{00000000-0005-0000-0000-0000CD000000}"/>
    <cellStyle name="Output 2 9 2 5" xfId="1205" xr:uid="{00000000-0005-0000-0000-0000CD000000}"/>
    <cellStyle name="Output 2 9 2 6" xfId="1442" xr:uid="{00000000-0005-0000-0000-0000CD000000}"/>
    <cellStyle name="Output 2 9 2 7" xfId="1678" xr:uid="{00000000-0005-0000-0000-0000CD000000}"/>
    <cellStyle name="Output 2 9 2 8" xfId="1914" xr:uid="{00000000-0005-0000-0000-0000CD000000}"/>
    <cellStyle name="Output 2 9 2 9" xfId="2194" xr:uid="{00000000-0005-0000-0000-0000CD000000}"/>
    <cellStyle name="Output 2 9 20" xfId="4410" xr:uid="{00000000-0005-0000-0000-0000CC000000}"/>
    <cellStyle name="Output 2 9 21" xfId="4674" xr:uid="{00000000-0005-0000-0000-0000CC000000}"/>
    <cellStyle name="Output 2 9 3" xfId="392" xr:uid="{00000000-0005-0000-0000-0000CC000000}"/>
    <cellStyle name="Output 2 9 4" xfId="684" xr:uid="{00000000-0005-0000-0000-0000CC000000}"/>
    <cellStyle name="Output 2 9 5" xfId="828" xr:uid="{00000000-0005-0000-0000-0000CC000000}"/>
    <cellStyle name="Output 2 9 6" xfId="1085" xr:uid="{00000000-0005-0000-0000-0000CC000000}"/>
    <cellStyle name="Output 2 9 7" xfId="1322" xr:uid="{00000000-0005-0000-0000-0000CC000000}"/>
    <cellStyle name="Output 2 9 8" xfId="1558" xr:uid="{00000000-0005-0000-0000-0000CC000000}"/>
    <cellStyle name="Output 2 9 9" xfId="1794" xr:uid="{00000000-0005-0000-0000-0000CC000000}"/>
    <cellStyle name="Output 3" xfId="47" xr:uid="{00000000-0005-0000-0000-0000CE000000}"/>
    <cellStyle name="Output 3 10" xfId="145" xr:uid="{00000000-0005-0000-0000-0000CF000000}"/>
    <cellStyle name="Output 3 10 10" xfId="2106" xr:uid="{00000000-0005-0000-0000-0000CF000000}"/>
    <cellStyle name="Output 3 10 11" xfId="2451" xr:uid="{00000000-0005-0000-0000-0000CF000000}"/>
    <cellStyle name="Output 3 10 12" xfId="2689" xr:uid="{00000000-0005-0000-0000-0000CF000000}"/>
    <cellStyle name="Output 3 10 13" xfId="2779" xr:uid="{00000000-0005-0000-0000-0000CF000000}"/>
    <cellStyle name="Output 3 10 14" xfId="3065" xr:uid="{00000000-0005-0000-0000-0000CF000000}"/>
    <cellStyle name="Output 3 10 15" xfId="3258" xr:uid="{00000000-0005-0000-0000-0000CF000000}"/>
    <cellStyle name="Output 3 10 16" xfId="3533" xr:uid="{00000000-0005-0000-0000-0000CF000000}"/>
    <cellStyle name="Output 3 10 17" xfId="3888" xr:uid="{00000000-0005-0000-0000-0000CF000000}"/>
    <cellStyle name="Output 3 10 18" xfId="3983" xr:uid="{00000000-0005-0000-0000-0000CF000000}"/>
    <cellStyle name="Output 3 10 19" xfId="4257" xr:uid="{00000000-0005-0000-0000-0000CF000000}"/>
    <cellStyle name="Output 3 10 2" xfId="266" xr:uid="{00000000-0005-0000-0000-0000D0000000}"/>
    <cellStyle name="Output 3 10 2 10" xfId="2268" xr:uid="{00000000-0005-0000-0000-0000D0000000}"/>
    <cellStyle name="Output 3 10 2 11" xfId="2508" xr:uid="{00000000-0005-0000-0000-0000D0000000}"/>
    <cellStyle name="Output 3 10 2 12" xfId="2654" xr:uid="{00000000-0005-0000-0000-0000D0000000}"/>
    <cellStyle name="Output 3 10 2 13" xfId="3186" xr:uid="{00000000-0005-0000-0000-0000D0000000}"/>
    <cellStyle name="Output 3 10 2 14" xfId="2883" xr:uid="{00000000-0005-0000-0000-0000D0000000}"/>
    <cellStyle name="Output 3 10 2 15" xfId="3654" xr:uid="{00000000-0005-0000-0000-0000D0000000}"/>
    <cellStyle name="Output 3 10 2 16" xfId="3707" xr:uid="{00000000-0005-0000-0000-0000D0000000}"/>
    <cellStyle name="Output 3 10 2 17" xfId="4040" xr:uid="{00000000-0005-0000-0000-0000D0000000}"/>
    <cellStyle name="Output 3 10 2 18" xfId="4378" xr:uid="{00000000-0005-0000-0000-0000D0000000}"/>
    <cellStyle name="Output 3 10 2 19" xfId="4421" xr:uid="{00000000-0005-0000-0000-0000D0000000}"/>
    <cellStyle name="Output 3 10 2 2" xfId="546" xr:uid="{00000000-0005-0000-0000-0000D0000000}"/>
    <cellStyle name="Output 3 10 2 20" xfId="4827" xr:uid="{00000000-0005-0000-0000-0000D0000000}"/>
    <cellStyle name="Output 3 10 2 3" xfId="316" xr:uid="{00000000-0005-0000-0000-0000D0000000}"/>
    <cellStyle name="Output 3 10 2 4" xfId="607" xr:uid="{00000000-0005-0000-0000-0000D0000000}"/>
    <cellStyle name="Output 3 10 2 5" xfId="1238" xr:uid="{00000000-0005-0000-0000-0000D0000000}"/>
    <cellStyle name="Output 3 10 2 6" xfId="1475" xr:uid="{00000000-0005-0000-0000-0000D0000000}"/>
    <cellStyle name="Output 3 10 2 7" xfId="1711" xr:uid="{00000000-0005-0000-0000-0000D0000000}"/>
    <cellStyle name="Output 3 10 2 8" xfId="1947" xr:uid="{00000000-0005-0000-0000-0000D0000000}"/>
    <cellStyle name="Output 3 10 2 9" xfId="2227" xr:uid="{00000000-0005-0000-0000-0000D0000000}"/>
    <cellStyle name="Output 3 10 20" xfId="4437" xr:uid="{00000000-0005-0000-0000-0000CF000000}"/>
    <cellStyle name="Output 3 10 21" xfId="4707" xr:uid="{00000000-0005-0000-0000-0000CF000000}"/>
    <cellStyle name="Output 3 10 3" xfId="425" xr:uid="{00000000-0005-0000-0000-0000CF000000}"/>
    <cellStyle name="Output 3 10 4" xfId="317" xr:uid="{00000000-0005-0000-0000-0000CF000000}"/>
    <cellStyle name="Output 3 10 5" xfId="855" xr:uid="{00000000-0005-0000-0000-0000CF000000}"/>
    <cellStyle name="Output 3 10 6" xfId="1118" xr:uid="{00000000-0005-0000-0000-0000CF000000}"/>
    <cellStyle name="Output 3 10 7" xfId="1355" xr:uid="{00000000-0005-0000-0000-0000CF000000}"/>
    <cellStyle name="Output 3 10 8" xfId="1591" xr:uid="{00000000-0005-0000-0000-0000CF000000}"/>
    <cellStyle name="Output 3 10 9" xfId="1827" xr:uid="{00000000-0005-0000-0000-0000CF000000}"/>
    <cellStyle name="Output 3 11" xfId="151" xr:uid="{00000000-0005-0000-0000-0000D1000000}"/>
    <cellStyle name="Output 3 11 10" xfId="2112" xr:uid="{00000000-0005-0000-0000-0000D1000000}"/>
    <cellStyle name="Output 3 11 11" xfId="2327" xr:uid="{00000000-0005-0000-0000-0000D1000000}"/>
    <cellStyle name="Output 3 11 12" xfId="2567" xr:uid="{00000000-0005-0000-0000-0000D1000000}"/>
    <cellStyle name="Output 3 11 13" xfId="2553" xr:uid="{00000000-0005-0000-0000-0000D1000000}"/>
    <cellStyle name="Output 3 11 14" xfId="3071" xr:uid="{00000000-0005-0000-0000-0000D1000000}"/>
    <cellStyle name="Output 3 11 15" xfId="2823" xr:uid="{00000000-0005-0000-0000-0000D1000000}"/>
    <cellStyle name="Output 3 11 16" xfId="3539" xr:uid="{00000000-0005-0000-0000-0000D1000000}"/>
    <cellStyle name="Output 3 11 17" xfId="3765" xr:uid="{00000000-0005-0000-0000-0000D1000000}"/>
    <cellStyle name="Output 3 11 18" xfId="4086" xr:uid="{00000000-0005-0000-0000-0000D1000000}"/>
    <cellStyle name="Output 3 11 19" xfId="4263" xr:uid="{00000000-0005-0000-0000-0000D1000000}"/>
    <cellStyle name="Output 3 11 2" xfId="272" xr:uid="{00000000-0005-0000-0000-0000D2000000}"/>
    <cellStyle name="Output 3 11 2 10" xfId="2293" xr:uid="{00000000-0005-0000-0000-0000D2000000}"/>
    <cellStyle name="Output 3 11 2 11" xfId="2533" xr:uid="{00000000-0005-0000-0000-0000D2000000}"/>
    <cellStyle name="Output 3 11 2 12" xfId="2521" xr:uid="{00000000-0005-0000-0000-0000D2000000}"/>
    <cellStyle name="Output 3 11 2 13" xfId="3192" xr:uid="{00000000-0005-0000-0000-0000D2000000}"/>
    <cellStyle name="Output 3 11 2 14" xfId="2958" xr:uid="{00000000-0005-0000-0000-0000D2000000}"/>
    <cellStyle name="Output 3 11 2 15" xfId="3660" xr:uid="{00000000-0005-0000-0000-0000D2000000}"/>
    <cellStyle name="Output 3 11 2 16" xfId="3732" xr:uid="{00000000-0005-0000-0000-0000D2000000}"/>
    <cellStyle name="Output 3 11 2 17" xfId="4048" xr:uid="{00000000-0005-0000-0000-0000D2000000}"/>
    <cellStyle name="Output 3 11 2 18" xfId="4384" xr:uid="{00000000-0005-0000-0000-0000D2000000}"/>
    <cellStyle name="Output 3 11 2 19" xfId="4535" xr:uid="{00000000-0005-0000-0000-0000D2000000}"/>
    <cellStyle name="Output 3 11 2 2" xfId="552" xr:uid="{00000000-0005-0000-0000-0000D2000000}"/>
    <cellStyle name="Output 3 11 2 20" xfId="4833" xr:uid="{00000000-0005-0000-0000-0000D2000000}"/>
    <cellStyle name="Output 3 11 2 3" xfId="308" xr:uid="{00000000-0005-0000-0000-0000D2000000}"/>
    <cellStyle name="Output 3 11 2 4" xfId="791" xr:uid="{00000000-0005-0000-0000-0000D2000000}"/>
    <cellStyle name="Output 3 11 2 5" xfId="1244" xr:uid="{00000000-0005-0000-0000-0000D2000000}"/>
    <cellStyle name="Output 3 11 2 6" xfId="1481" xr:uid="{00000000-0005-0000-0000-0000D2000000}"/>
    <cellStyle name="Output 3 11 2 7" xfId="1717" xr:uid="{00000000-0005-0000-0000-0000D2000000}"/>
    <cellStyle name="Output 3 11 2 8" xfId="1953" xr:uid="{00000000-0005-0000-0000-0000D2000000}"/>
    <cellStyle name="Output 3 11 2 9" xfId="2233" xr:uid="{00000000-0005-0000-0000-0000D2000000}"/>
    <cellStyle name="Output 3 11 20" xfId="4438" xr:uid="{00000000-0005-0000-0000-0000D1000000}"/>
    <cellStyle name="Output 3 11 21" xfId="4713" xr:uid="{00000000-0005-0000-0000-0000D1000000}"/>
    <cellStyle name="Output 3 11 3" xfId="431" xr:uid="{00000000-0005-0000-0000-0000D1000000}"/>
    <cellStyle name="Output 3 11 4" xfId="769" xr:uid="{00000000-0005-0000-0000-0000D1000000}"/>
    <cellStyle name="Output 3 11 5" xfId="687" xr:uid="{00000000-0005-0000-0000-0000D1000000}"/>
    <cellStyle name="Output 3 11 6" xfId="1124" xr:uid="{00000000-0005-0000-0000-0000D1000000}"/>
    <cellStyle name="Output 3 11 7" xfId="1361" xr:uid="{00000000-0005-0000-0000-0000D1000000}"/>
    <cellStyle name="Output 3 11 8" xfId="1597" xr:uid="{00000000-0005-0000-0000-0000D1000000}"/>
    <cellStyle name="Output 3 11 9" xfId="1833" xr:uid="{00000000-0005-0000-0000-0000D1000000}"/>
    <cellStyle name="Output 3 12" xfId="157" xr:uid="{00000000-0005-0000-0000-0000D3000000}"/>
    <cellStyle name="Output 3 12 10" xfId="2118" xr:uid="{00000000-0005-0000-0000-0000D3000000}"/>
    <cellStyle name="Output 3 12 11" xfId="2246" xr:uid="{00000000-0005-0000-0000-0000D3000000}"/>
    <cellStyle name="Output 3 12 12" xfId="2486" xr:uid="{00000000-0005-0000-0000-0000D3000000}"/>
    <cellStyle name="Output 3 12 13" xfId="2800" xr:uid="{00000000-0005-0000-0000-0000D3000000}"/>
    <cellStyle name="Output 3 12 14" xfId="3077" xr:uid="{00000000-0005-0000-0000-0000D3000000}"/>
    <cellStyle name="Output 3 12 15" xfId="3279" xr:uid="{00000000-0005-0000-0000-0000D3000000}"/>
    <cellStyle name="Output 3 12 16" xfId="3545" xr:uid="{00000000-0005-0000-0000-0000D3000000}"/>
    <cellStyle name="Output 3 12 17" xfId="3686" xr:uid="{00000000-0005-0000-0000-0000D3000000}"/>
    <cellStyle name="Output 3 12 18" xfId="3759" xr:uid="{00000000-0005-0000-0000-0000D3000000}"/>
    <cellStyle name="Output 3 12 19" xfId="4269" xr:uid="{00000000-0005-0000-0000-0000D3000000}"/>
    <cellStyle name="Output 3 12 2" xfId="278" xr:uid="{00000000-0005-0000-0000-0000D4000000}"/>
    <cellStyle name="Output 3 12 2 10" xfId="2333" xr:uid="{00000000-0005-0000-0000-0000D4000000}"/>
    <cellStyle name="Output 3 12 2 11" xfId="2573" xr:uid="{00000000-0005-0000-0000-0000D4000000}"/>
    <cellStyle name="Output 3 12 2 12" xfId="2001" xr:uid="{00000000-0005-0000-0000-0000D4000000}"/>
    <cellStyle name="Output 3 12 2 13" xfId="3198" xr:uid="{00000000-0005-0000-0000-0000D4000000}"/>
    <cellStyle name="Output 3 12 2 14" xfId="2771" xr:uid="{00000000-0005-0000-0000-0000D4000000}"/>
    <cellStyle name="Output 3 12 2 15" xfId="3666" xr:uid="{00000000-0005-0000-0000-0000D4000000}"/>
    <cellStyle name="Output 3 12 2 16" xfId="3771" xr:uid="{00000000-0005-0000-0000-0000D4000000}"/>
    <cellStyle name="Output 3 12 2 17" xfId="4122" xr:uid="{00000000-0005-0000-0000-0000D4000000}"/>
    <cellStyle name="Output 3 12 2 18" xfId="4390" xr:uid="{00000000-0005-0000-0000-0000D4000000}"/>
    <cellStyle name="Output 3 12 2 19" xfId="4603" xr:uid="{00000000-0005-0000-0000-0000D4000000}"/>
    <cellStyle name="Output 3 12 2 2" xfId="558" xr:uid="{00000000-0005-0000-0000-0000D4000000}"/>
    <cellStyle name="Output 3 12 2 20" xfId="4839" xr:uid="{00000000-0005-0000-0000-0000D4000000}"/>
    <cellStyle name="Output 3 12 2 3" xfId="798" xr:uid="{00000000-0005-0000-0000-0000D4000000}"/>
    <cellStyle name="Output 3 12 2 4" xfId="652" xr:uid="{00000000-0005-0000-0000-0000D4000000}"/>
    <cellStyle name="Output 3 12 2 5" xfId="1250" xr:uid="{00000000-0005-0000-0000-0000D4000000}"/>
    <cellStyle name="Output 3 12 2 6" xfId="1487" xr:uid="{00000000-0005-0000-0000-0000D4000000}"/>
    <cellStyle name="Output 3 12 2 7" xfId="1723" xr:uid="{00000000-0005-0000-0000-0000D4000000}"/>
    <cellStyle name="Output 3 12 2 8" xfId="1959" xr:uid="{00000000-0005-0000-0000-0000D4000000}"/>
    <cellStyle name="Output 3 12 2 9" xfId="2239" xr:uid="{00000000-0005-0000-0000-0000D4000000}"/>
    <cellStyle name="Output 3 12 20" xfId="4474" xr:uid="{00000000-0005-0000-0000-0000D3000000}"/>
    <cellStyle name="Output 3 12 21" xfId="4719" xr:uid="{00000000-0005-0000-0000-0000D3000000}"/>
    <cellStyle name="Output 3 12 3" xfId="437" xr:uid="{00000000-0005-0000-0000-0000D3000000}"/>
    <cellStyle name="Output 3 12 4" xfId="729" xr:uid="{00000000-0005-0000-0000-0000D3000000}"/>
    <cellStyle name="Output 3 12 5" xfId="876" xr:uid="{00000000-0005-0000-0000-0000D3000000}"/>
    <cellStyle name="Output 3 12 6" xfId="1130" xr:uid="{00000000-0005-0000-0000-0000D3000000}"/>
    <cellStyle name="Output 3 12 7" xfId="1367" xr:uid="{00000000-0005-0000-0000-0000D3000000}"/>
    <cellStyle name="Output 3 12 8" xfId="1603" xr:uid="{00000000-0005-0000-0000-0000D3000000}"/>
    <cellStyle name="Output 3 12 9" xfId="1839" xr:uid="{00000000-0005-0000-0000-0000D3000000}"/>
    <cellStyle name="Output 3 13" xfId="168" xr:uid="{00000000-0005-0000-0000-0000D5000000}"/>
    <cellStyle name="Output 3 13 10" xfId="2266" xr:uid="{00000000-0005-0000-0000-0000D5000000}"/>
    <cellStyle name="Output 3 13 11" xfId="2506" xr:uid="{00000000-0005-0000-0000-0000D5000000}"/>
    <cellStyle name="Output 3 13 12" xfId="2844" xr:uid="{00000000-0005-0000-0000-0000D5000000}"/>
    <cellStyle name="Output 3 13 13" xfId="3088" xr:uid="{00000000-0005-0000-0000-0000D5000000}"/>
    <cellStyle name="Output 3 13 14" xfId="3320" xr:uid="{00000000-0005-0000-0000-0000D5000000}"/>
    <cellStyle name="Output 3 13 15" xfId="3556" xr:uid="{00000000-0005-0000-0000-0000D5000000}"/>
    <cellStyle name="Output 3 13 16" xfId="3705" xr:uid="{00000000-0005-0000-0000-0000D5000000}"/>
    <cellStyle name="Output 3 13 17" xfId="3939" xr:uid="{00000000-0005-0000-0000-0000D5000000}"/>
    <cellStyle name="Output 3 13 18" xfId="4280" xr:uid="{00000000-0005-0000-0000-0000D5000000}"/>
    <cellStyle name="Output 3 13 19" xfId="4574" xr:uid="{00000000-0005-0000-0000-0000D5000000}"/>
    <cellStyle name="Output 3 13 2" xfId="448" xr:uid="{00000000-0005-0000-0000-0000D5000000}"/>
    <cellStyle name="Output 3 13 20" xfId="4729" xr:uid="{00000000-0005-0000-0000-0000D5000000}"/>
    <cellStyle name="Output 3 13 3" xfId="788" xr:uid="{00000000-0005-0000-0000-0000D5000000}"/>
    <cellStyle name="Output 3 13 4" xfId="915" xr:uid="{00000000-0005-0000-0000-0000D5000000}"/>
    <cellStyle name="Output 3 13 5" xfId="1140" xr:uid="{00000000-0005-0000-0000-0000D5000000}"/>
    <cellStyle name="Output 3 13 6" xfId="1377" xr:uid="{00000000-0005-0000-0000-0000D5000000}"/>
    <cellStyle name="Output 3 13 7" xfId="1613" xr:uid="{00000000-0005-0000-0000-0000D5000000}"/>
    <cellStyle name="Output 3 13 8" xfId="1849" xr:uid="{00000000-0005-0000-0000-0000D5000000}"/>
    <cellStyle name="Output 3 13 9" xfId="2129" xr:uid="{00000000-0005-0000-0000-0000D5000000}"/>
    <cellStyle name="Output 3 14" xfId="327" xr:uid="{00000000-0005-0000-0000-0000CE000000}"/>
    <cellStyle name="Output 3 15" xfId="797" xr:uid="{00000000-0005-0000-0000-0000CE000000}"/>
    <cellStyle name="Output 3 16" xfId="891" xr:uid="{00000000-0005-0000-0000-0000CE000000}"/>
    <cellStyle name="Output 3 17" xfId="1020" xr:uid="{00000000-0005-0000-0000-0000CE000000}"/>
    <cellStyle name="Output 3 18" xfId="1257" xr:uid="{00000000-0005-0000-0000-0000CE000000}"/>
    <cellStyle name="Output 3 19" xfId="1493" xr:uid="{00000000-0005-0000-0000-0000CE000000}"/>
    <cellStyle name="Output 3 2" xfId="66" xr:uid="{00000000-0005-0000-0000-0000D6000000}"/>
    <cellStyle name="Output 3 2 10" xfId="2027" xr:uid="{00000000-0005-0000-0000-0000D6000000}"/>
    <cellStyle name="Output 3 2 11" xfId="2267" xr:uid="{00000000-0005-0000-0000-0000D6000000}"/>
    <cellStyle name="Output 3 2 12" xfId="2507" xr:uid="{00000000-0005-0000-0000-0000D6000000}"/>
    <cellStyle name="Output 3 2 13" xfId="2745" xr:uid="{00000000-0005-0000-0000-0000D6000000}"/>
    <cellStyle name="Output 3 2 14" xfId="2986" xr:uid="{00000000-0005-0000-0000-0000D6000000}"/>
    <cellStyle name="Output 3 2 15" xfId="3227" xr:uid="{00000000-0005-0000-0000-0000D6000000}"/>
    <cellStyle name="Output 3 2 16" xfId="3454" xr:uid="{00000000-0005-0000-0000-0000D6000000}"/>
    <cellStyle name="Output 3 2 17" xfId="3706" xr:uid="{00000000-0005-0000-0000-0000D6000000}"/>
    <cellStyle name="Output 3 2 18" xfId="3944" xr:uid="{00000000-0005-0000-0000-0000D6000000}"/>
    <cellStyle name="Output 3 2 19" xfId="4178" xr:uid="{00000000-0005-0000-0000-0000D6000000}"/>
    <cellStyle name="Output 3 2 2" xfId="187" xr:uid="{00000000-0005-0000-0000-0000D7000000}"/>
    <cellStyle name="Output 3 2 2 10" xfId="2407" xr:uid="{00000000-0005-0000-0000-0000D7000000}"/>
    <cellStyle name="Output 3 2 2 11" xfId="2645" xr:uid="{00000000-0005-0000-0000-0000D7000000}"/>
    <cellStyle name="Output 3 2 2 12" xfId="2740" xr:uid="{00000000-0005-0000-0000-0000D7000000}"/>
    <cellStyle name="Output 3 2 2 13" xfId="3107" xr:uid="{00000000-0005-0000-0000-0000D7000000}"/>
    <cellStyle name="Output 3 2 2 14" xfId="3222" xr:uid="{00000000-0005-0000-0000-0000D7000000}"/>
    <cellStyle name="Output 3 2 2 15" xfId="3575" xr:uid="{00000000-0005-0000-0000-0000D7000000}"/>
    <cellStyle name="Output 3 2 2 16" xfId="3844" xr:uid="{00000000-0005-0000-0000-0000D7000000}"/>
    <cellStyle name="Output 3 2 2 17" xfId="3973" xr:uid="{00000000-0005-0000-0000-0000D7000000}"/>
    <cellStyle name="Output 3 2 2 18" xfId="4299" xr:uid="{00000000-0005-0000-0000-0000D7000000}"/>
    <cellStyle name="Output 3 2 2 19" xfId="4485" xr:uid="{00000000-0005-0000-0000-0000D7000000}"/>
    <cellStyle name="Output 3 2 2 2" xfId="467" xr:uid="{00000000-0005-0000-0000-0000D7000000}"/>
    <cellStyle name="Output 3 2 2 20" xfId="4748" xr:uid="{00000000-0005-0000-0000-0000D7000000}"/>
    <cellStyle name="Output 3 2 2 3" xfId="696" xr:uid="{00000000-0005-0000-0000-0000D7000000}"/>
    <cellStyle name="Output 3 2 2 4" xfId="819" xr:uid="{00000000-0005-0000-0000-0000D7000000}"/>
    <cellStyle name="Output 3 2 2 5" xfId="1159" xr:uid="{00000000-0005-0000-0000-0000D7000000}"/>
    <cellStyle name="Output 3 2 2 6" xfId="1396" xr:uid="{00000000-0005-0000-0000-0000D7000000}"/>
    <cellStyle name="Output 3 2 2 7" xfId="1632" xr:uid="{00000000-0005-0000-0000-0000D7000000}"/>
    <cellStyle name="Output 3 2 2 8" xfId="1868" xr:uid="{00000000-0005-0000-0000-0000D7000000}"/>
    <cellStyle name="Output 3 2 2 9" xfId="2148" xr:uid="{00000000-0005-0000-0000-0000D7000000}"/>
    <cellStyle name="Output 3 2 20" xfId="4416" xr:uid="{00000000-0005-0000-0000-0000D6000000}"/>
    <cellStyle name="Output 3 2 21" xfId="4628" xr:uid="{00000000-0005-0000-0000-0000D6000000}"/>
    <cellStyle name="Output 3 2 3" xfId="346" xr:uid="{00000000-0005-0000-0000-0000D6000000}"/>
    <cellStyle name="Output 3 2 4" xfId="676" xr:uid="{00000000-0005-0000-0000-0000D6000000}"/>
    <cellStyle name="Output 3 2 5" xfId="823" xr:uid="{00000000-0005-0000-0000-0000D6000000}"/>
    <cellStyle name="Output 3 2 6" xfId="1039" xr:uid="{00000000-0005-0000-0000-0000D6000000}"/>
    <cellStyle name="Output 3 2 7" xfId="1276" xr:uid="{00000000-0005-0000-0000-0000D6000000}"/>
    <cellStyle name="Output 3 2 8" xfId="1512" xr:uid="{00000000-0005-0000-0000-0000D6000000}"/>
    <cellStyle name="Output 3 2 9" xfId="1748" xr:uid="{00000000-0005-0000-0000-0000D6000000}"/>
    <cellStyle name="Output 3 20" xfId="1729" xr:uid="{00000000-0005-0000-0000-0000CE000000}"/>
    <cellStyle name="Output 3 21" xfId="2008" xr:uid="{00000000-0005-0000-0000-0000CE000000}"/>
    <cellStyle name="Output 3 22" xfId="2428" xr:uid="{00000000-0005-0000-0000-0000CE000000}"/>
    <cellStyle name="Output 3 23" xfId="2666" xr:uid="{00000000-0005-0000-0000-0000CE000000}"/>
    <cellStyle name="Output 3 24" xfId="2817" xr:uid="{00000000-0005-0000-0000-0000CE000000}"/>
    <cellStyle name="Output 3 25" xfId="2967" xr:uid="{00000000-0005-0000-0000-0000CE000000}"/>
    <cellStyle name="Output 3 26" xfId="3293" xr:uid="{00000000-0005-0000-0000-0000CE000000}"/>
    <cellStyle name="Output 3 27" xfId="3435" xr:uid="{00000000-0005-0000-0000-0000CE000000}"/>
    <cellStyle name="Output 3 28" xfId="3865" xr:uid="{00000000-0005-0000-0000-0000CE000000}"/>
    <cellStyle name="Output 3 29" xfId="3829" xr:uid="{00000000-0005-0000-0000-0000CE000000}"/>
    <cellStyle name="Output 3 3" xfId="75" xr:uid="{00000000-0005-0000-0000-0000D8000000}"/>
    <cellStyle name="Output 3 3 10" xfId="2036" xr:uid="{00000000-0005-0000-0000-0000D8000000}"/>
    <cellStyle name="Output 3 3 11" xfId="2320" xr:uid="{00000000-0005-0000-0000-0000D8000000}"/>
    <cellStyle name="Output 3 3 12" xfId="2560" xr:uid="{00000000-0005-0000-0000-0000D8000000}"/>
    <cellStyle name="Output 3 3 13" xfId="2908" xr:uid="{00000000-0005-0000-0000-0000D8000000}"/>
    <cellStyle name="Output 3 3 14" xfId="2995" xr:uid="{00000000-0005-0000-0000-0000D8000000}"/>
    <cellStyle name="Output 3 3 15" xfId="3384" xr:uid="{00000000-0005-0000-0000-0000D8000000}"/>
    <cellStyle name="Output 3 3 16" xfId="3463" xr:uid="{00000000-0005-0000-0000-0000D8000000}"/>
    <cellStyle name="Output 3 3 17" xfId="3758" xr:uid="{00000000-0005-0000-0000-0000D8000000}"/>
    <cellStyle name="Output 3 3 18" xfId="3819" xr:uid="{00000000-0005-0000-0000-0000D8000000}"/>
    <cellStyle name="Output 3 3 19" xfId="4187" xr:uid="{00000000-0005-0000-0000-0000D8000000}"/>
    <cellStyle name="Output 3 3 2" xfId="196" xr:uid="{00000000-0005-0000-0000-0000D9000000}"/>
    <cellStyle name="Output 3 3 2 10" xfId="2386" xr:uid="{00000000-0005-0000-0000-0000D9000000}"/>
    <cellStyle name="Output 3 3 2 11" xfId="2624" xr:uid="{00000000-0005-0000-0000-0000D9000000}"/>
    <cellStyle name="Output 3 3 2 12" xfId="2791" xr:uid="{00000000-0005-0000-0000-0000D9000000}"/>
    <cellStyle name="Output 3 3 2 13" xfId="3116" xr:uid="{00000000-0005-0000-0000-0000D9000000}"/>
    <cellStyle name="Output 3 3 2 14" xfId="3270" xr:uid="{00000000-0005-0000-0000-0000D9000000}"/>
    <cellStyle name="Output 3 3 2 15" xfId="3584" xr:uid="{00000000-0005-0000-0000-0000D9000000}"/>
    <cellStyle name="Output 3 3 2 16" xfId="3823" xr:uid="{00000000-0005-0000-0000-0000D9000000}"/>
    <cellStyle name="Output 3 3 2 17" xfId="4013" xr:uid="{00000000-0005-0000-0000-0000D9000000}"/>
    <cellStyle name="Output 3 3 2 18" xfId="4308" xr:uid="{00000000-0005-0000-0000-0000D9000000}"/>
    <cellStyle name="Output 3 3 2 19" xfId="4441" xr:uid="{00000000-0005-0000-0000-0000D9000000}"/>
    <cellStyle name="Output 3 3 2 2" xfId="476" xr:uid="{00000000-0005-0000-0000-0000D9000000}"/>
    <cellStyle name="Output 3 3 2 20" xfId="4757" xr:uid="{00000000-0005-0000-0000-0000D9000000}"/>
    <cellStyle name="Output 3 3 2 3" xfId="293" xr:uid="{00000000-0005-0000-0000-0000D9000000}"/>
    <cellStyle name="Output 3 3 2 4" xfId="867" xr:uid="{00000000-0005-0000-0000-0000D9000000}"/>
    <cellStyle name="Output 3 3 2 5" xfId="1168" xr:uid="{00000000-0005-0000-0000-0000D9000000}"/>
    <cellStyle name="Output 3 3 2 6" xfId="1405" xr:uid="{00000000-0005-0000-0000-0000D9000000}"/>
    <cellStyle name="Output 3 3 2 7" xfId="1641" xr:uid="{00000000-0005-0000-0000-0000D9000000}"/>
    <cellStyle name="Output 3 3 2 8" xfId="1877" xr:uid="{00000000-0005-0000-0000-0000D9000000}"/>
    <cellStyle name="Output 3 3 2 9" xfId="2157" xr:uid="{00000000-0005-0000-0000-0000D9000000}"/>
    <cellStyle name="Output 3 3 20" xfId="4453" xr:uid="{00000000-0005-0000-0000-0000D8000000}"/>
    <cellStyle name="Output 3 3 21" xfId="4637" xr:uid="{00000000-0005-0000-0000-0000D8000000}"/>
    <cellStyle name="Output 3 3 3" xfId="355" xr:uid="{00000000-0005-0000-0000-0000D8000000}"/>
    <cellStyle name="Output 3 3 4" xfId="620" xr:uid="{00000000-0005-0000-0000-0000D8000000}"/>
    <cellStyle name="Output 3 3 5" xfId="974" xr:uid="{00000000-0005-0000-0000-0000D8000000}"/>
    <cellStyle name="Output 3 3 6" xfId="1048" xr:uid="{00000000-0005-0000-0000-0000D8000000}"/>
    <cellStyle name="Output 3 3 7" xfId="1285" xr:uid="{00000000-0005-0000-0000-0000D8000000}"/>
    <cellStyle name="Output 3 3 8" xfId="1521" xr:uid="{00000000-0005-0000-0000-0000D8000000}"/>
    <cellStyle name="Output 3 3 9" xfId="1757" xr:uid="{00000000-0005-0000-0000-0000D8000000}"/>
    <cellStyle name="Output 3 30" xfId="4159" xr:uid="{00000000-0005-0000-0000-0000CE000000}"/>
    <cellStyle name="Output 3 31" xfId="4602" xr:uid="{00000000-0005-0000-0000-0000CE000000}"/>
    <cellStyle name="Output 3 32" xfId="4609" xr:uid="{00000000-0005-0000-0000-0000CE000000}"/>
    <cellStyle name="Output 3 4" xfId="85" xr:uid="{00000000-0005-0000-0000-0000DA000000}"/>
    <cellStyle name="Output 3 4 10" xfId="2046" xr:uid="{00000000-0005-0000-0000-0000DA000000}"/>
    <cellStyle name="Output 3 4 11" xfId="1973" xr:uid="{00000000-0005-0000-0000-0000DA000000}"/>
    <cellStyle name="Output 3 4 12" xfId="2279" xr:uid="{00000000-0005-0000-0000-0000DA000000}"/>
    <cellStyle name="Output 3 4 13" xfId="2875" xr:uid="{00000000-0005-0000-0000-0000DA000000}"/>
    <cellStyle name="Output 3 4 14" xfId="3005" xr:uid="{00000000-0005-0000-0000-0000DA000000}"/>
    <cellStyle name="Output 3 4 15" xfId="3351" xr:uid="{00000000-0005-0000-0000-0000DA000000}"/>
    <cellStyle name="Output 3 4 16" xfId="3473" xr:uid="{00000000-0005-0000-0000-0000DA000000}"/>
    <cellStyle name="Output 3 4 17" xfId="3671" xr:uid="{00000000-0005-0000-0000-0000DA000000}"/>
    <cellStyle name="Output 3 4 18" xfId="4140" xr:uid="{00000000-0005-0000-0000-0000DA000000}"/>
    <cellStyle name="Output 3 4 19" xfId="4197" xr:uid="{00000000-0005-0000-0000-0000DA000000}"/>
    <cellStyle name="Output 3 4 2" xfId="206" xr:uid="{00000000-0005-0000-0000-0000DB000000}"/>
    <cellStyle name="Output 3 4 2 10" xfId="2297" xr:uid="{00000000-0005-0000-0000-0000DB000000}"/>
    <cellStyle name="Output 3 4 2 11" xfId="2537" xr:uid="{00000000-0005-0000-0000-0000DB000000}"/>
    <cellStyle name="Output 3 4 2 12" xfId="2836" xr:uid="{00000000-0005-0000-0000-0000DB000000}"/>
    <cellStyle name="Output 3 4 2 13" xfId="3126" xr:uid="{00000000-0005-0000-0000-0000DB000000}"/>
    <cellStyle name="Output 3 4 2 14" xfId="3312" xr:uid="{00000000-0005-0000-0000-0000DB000000}"/>
    <cellStyle name="Output 3 4 2 15" xfId="3594" xr:uid="{00000000-0005-0000-0000-0000DB000000}"/>
    <cellStyle name="Output 3 4 2 16" xfId="3736" xr:uid="{00000000-0005-0000-0000-0000DB000000}"/>
    <cellStyle name="Output 3 4 2 17" xfId="4039" xr:uid="{00000000-0005-0000-0000-0000DB000000}"/>
    <cellStyle name="Output 3 4 2 18" xfId="4318" xr:uid="{00000000-0005-0000-0000-0000DB000000}"/>
    <cellStyle name="Output 3 4 2 19" xfId="4392" xr:uid="{00000000-0005-0000-0000-0000DB000000}"/>
    <cellStyle name="Output 3 4 2 2" xfId="486" xr:uid="{00000000-0005-0000-0000-0000DB000000}"/>
    <cellStyle name="Output 3 4 2 20" xfId="4767" xr:uid="{00000000-0005-0000-0000-0000DB000000}"/>
    <cellStyle name="Output 3 4 2 3" xfId="655" xr:uid="{00000000-0005-0000-0000-0000DB000000}"/>
    <cellStyle name="Output 3 4 2 4" xfId="907" xr:uid="{00000000-0005-0000-0000-0000DB000000}"/>
    <cellStyle name="Output 3 4 2 5" xfId="1178" xr:uid="{00000000-0005-0000-0000-0000DB000000}"/>
    <cellStyle name="Output 3 4 2 6" xfId="1415" xr:uid="{00000000-0005-0000-0000-0000DB000000}"/>
    <cellStyle name="Output 3 4 2 7" xfId="1651" xr:uid="{00000000-0005-0000-0000-0000DB000000}"/>
    <cellStyle name="Output 3 4 2 8" xfId="1887" xr:uid="{00000000-0005-0000-0000-0000DB000000}"/>
    <cellStyle name="Output 3 4 2 9" xfId="2167" xr:uid="{00000000-0005-0000-0000-0000DB000000}"/>
    <cellStyle name="Output 3 4 20" xfId="4396" xr:uid="{00000000-0005-0000-0000-0000DA000000}"/>
    <cellStyle name="Output 3 4 21" xfId="4647" xr:uid="{00000000-0005-0000-0000-0000DA000000}"/>
    <cellStyle name="Output 3 4 3" xfId="365" xr:uid="{00000000-0005-0000-0000-0000DA000000}"/>
    <cellStyle name="Output 3 4 4" xfId="588" xr:uid="{00000000-0005-0000-0000-0000DA000000}"/>
    <cellStyle name="Output 3 4 5" xfId="944" xr:uid="{00000000-0005-0000-0000-0000DA000000}"/>
    <cellStyle name="Output 3 4 6" xfId="1058" xr:uid="{00000000-0005-0000-0000-0000DA000000}"/>
    <cellStyle name="Output 3 4 7" xfId="1295" xr:uid="{00000000-0005-0000-0000-0000DA000000}"/>
    <cellStyle name="Output 3 4 8" xfId="1531" xr:uid="{00000000-0005-0000-0000-0000DA000000}"/>
    <cellStyle name="Output 3 4 9" xfId="1767" xr:uid="{00000000-0005-0000-0000-0000DA000000}"/>
    <cellStyle name="Output 3 5" xfId="91" xr:uid="{00000000-0005-0000-0000-0000DC000000}"/>
    <cellStyle name="Output 3 5 10" xfId="2052" xr:uid="{00000000-0005-0000-0000-0000DC000000}"/>
    <cellStyle name="Output 3 5 11" xfId="2285" xr:uid="{00000000-0005-0000-0000-0000DC000000}"/>
    <cellStyle name="Output 3 5 12" xfId="2525" xr:uid="{00000000-0005-0000-0000-0000DC000000}"/>
    <cellStyle name="Output 3 5 13" xfId="2840" xr:uid="{00000000-0005-0000-0000-0000DC000000}"/>
    <cellStyle name="Output 3 5 14" xfId="3011" xr:uid="{00000000-0005-0000-0000-0000DC000000}"/>
    <cellStyle name="Output 3 5 15" xfId="3316" xr:uid="{00000000-0005-0000-0000-0000DC000000}"/>
    <cellStyle name="Output 3 5 16" xfId="3479" xr:uid="{00000000-0005-0000-0000-0000DC000000}"/>
    <cellStyle name="Output 3 5 17" xfId="3724" xr:uid="{00000000-0005-0000-0000-0000DC000000}"/>
    <cellStyle name="Output 3 5 18" xfId="4031" xr:uid="{00000000-0005-0000-0000-0000DC000000}"/>
    <cellStyle name="Output 3 5 19" xfId="4203" xr:uid="{00000000-0005-0000-0000-0000DC000000}"/>
    <cellStyle name="Output 3 5 2" xfId="212" xr:uid="{00000000-0005-0000-0000-0000DD000000}"/>
    <cellStyle name="Output 3 5 2 10" xfId="2255" xr:uid="{00000000-0005-0000-0000-0000DD000000}"/>
    <cellStyle name="Output 3 5 2 11" xfId="2495" xr:uid="{00000000-0005-0000-0000-0000DD000000}"/>
    <cellStyle name="Output 3 5 2 12" xfId="2916" xr:uid="{00000000-0005-0000-0000-0000DD000000}"/>
    <cellStyle name="Output 3 5 2 13" xfId="3132" xr:uid="{00000000-0005-0000-0000-0000DD000000}"/>
    <cellStyle name="Output 3 5 2 14" xfId="3392" xr:uid="{00000000-0005-0000-0000-0000DD000000}"/>
    <cellStyle name="Output 3 5 2 15" xfId="3600" xr:uid="{00000000-0005-0000-0000-0000DD000000}"/>
    <cellStyle name="Output 3 5 2 16" xfId="3694" xr:uid="{00000000-0005-0000-0000-0000DD000000}"/>
    <cellStyle name="Output 3 5 2 17" xfId="4046" xr:uid="{00000000-0005-0000-0000-0000DD000000}"/>
    <cellStyle name="Output 3 5 2 18" xfId="4324" xr:uid="{00000000-0005-0000-0000-0000DD000000}"/>
    <cellStyle name="Output 3 5 2 19" xfId="4473" xr:uid="{00000000-0005-0000-0000-0000DD000000}"/>
    <cellStyle name="Output 3 5 2 2" xfId="492" xr:uid="{00000000-0005-0000-0000-0000DD000000}"/>
    <cellStyle name="Output 3 5 2 20" xfId="4773" xr:uid="{00000000-0005-0000-0000-0000DD000000}"/>
    <cellStyle name="Output 3 5 2 3" xfId="614" xr:uid="{00000000-0005-0000-0000-0000DD000000}"/>
    <cellStyle name="Output 3 5 2 4" xfId="982" xr:uid="{00000000-0005-0000-0000-0000DD000000}"/>
    <cellStyle name="Output 3 5 2 5" xfId="1184" xr:uid="{00000000-0005-0000-0000-0000DD000000}"/>
    <cellStyle name="Output 3 5 2 6" xfId="1421" xr:uid="{00000000-0005-0000-0000-0000DD000000}"/>
    <cellStyle name="Output 3 5 2 7" xfId="1657" xr:uid="{00000000-0005-0000-0000-0000DD000000}"/>
    <cellStyle name="Output 3 5 2 8" xfId="1893" xr:uid="{00000000-0005-0000-0000-0000DD000000}"/>
    <cellStyle name="Output 3 5 2 9" xfId="2173" xr:uid="{00000000-0005-0000-0000-0000DD000000}"/>
    <cellStyle name="Output 3 5 20" xfId="4420" xr:uid="{00000000-0005-0000-0000-0000DC000000}"/>
    <cellStyle name="Output 3 5 21" xfId="4653" xr:uid="{00000000-0005-0000-0000-0000DC000000}"/>
    <cellStyle name="Output 3 5 3" xfId="371" xr:uid="{00000000-0005-0000-0000-0000DC000000}"/>
    <cellStyle name="Output 3 5 4" xfId="756" xr:uid="{00000000-0005-0000-0000-0000DC000000}"/>
    <cellStyle name="Output 3 5 5" xfId="911" xr:uid="{00000000-0005-0000-0000-0000DC000000}"/>
    <cellStyle name="Output 3 5 6" xfId="1064" xr:uid="{00000000-0005-0000-0000-0000DC000000}"/>
    <cellStyle name="Output 3 5 7" xfId="1301" xr:uid="{00000000-0005-0000-0000-0000DC000000}"/>
    <cellStyle name="Output 3 5 8" xfId="1537" xr:uid="{00000000-0005-0000-0000-0000DC000000}"/>
    <cellStyle name="Output 3 5 9" xfId="1773" xr:uid="{00000000-0005-0000-0000-0000DC000000}"/>
    <cellStyle name="Output 3 6" xfId="97" xr:uid="{00000000-0005-0000-0000-0000DE000000}"/>
    <cellStyle name="Output 3 6 10" xfId="2058" xr:uid="{00000000-0005-0000-0000-0000DE000000}"/>
    <cellStyle name="Output 3 6 11" xfId="2443" xr:uid="{00000000-0005-0000-0000-0000DE000000}"/>
    <cellStyle name="Output 3 6 12" xfId="2681" xr:uid="{00000000-0005-0000-0000-0000DE000000}"/>
    <cellStyle name="Output 3 6 13" xfId="2781" xr:uid="{00000000-0005-0000-0000-0000DE000000}"/>
    <cellStyle name="Output 3 6 14" xfId="3017" xr:uid="{00000000-0005-0000-0000-0000DE000000}"/>
    <cellStyle name="Output 3 6 15" xfId="3260" xr:uid="{00000000-0005-0000-0000-0000DE000000}"/>
    <cellStyle name="Output 3 6 16" xfId="3485" xr:uid="{00000000-0005-0000-0000-0000DE000000}"/>
    <cellStyle name="Output 3 6 17" xfId="3880" xr:uid="{00000000-0005-0000-0000-0000DE000000}"/>
    <cellStyle name="Output 3 6 18" xfId="4102" xr:uid="{00000000-0005-0000-0000-0000DE000000}"/>
    <cellStyle name="Output 3 6 19" xfId="4209" xr:uid="{00000000-0005-0000-0000-0000DE000000}"/>
    <cellStyle name="Output 3 6 2" xfId="218" xr:uid="{00000000-0005-0000-0000-0000DF000000}"/>
    <cellStyle name="Output 3 6 2 10" xfId="1965" xr:uid="{00000000-0005-0000-0000-0000DF000000}"/>
    <cellStyle name="Output 3 6 2 11" xfId="2254" xr:uid="{00000000-0005-0000-0000-0000DF000000}"/>
    <cellStyle name="Output 3 6 2 12" xfId="2879" xr:uid="{00000000-0005-0000-0000-0000DF000000}"/>
    <cellStyle name="Output 3 6 2 13" xfId="3138" xr:uid="{00000000-0005-0000-0000-0000DF000000}"/>
    <cellStyle name="Output 3 6 2 14" xfId="3355" xr:uid="{00000000-0005-0000-0000-0000DF000000}"/>
    <cellStyle name="Output 3 6 2 15" xfId="3606" xr:uid="{00000000-0005-0000-0000-0000DF000000}"/>
    <cellStyle name="Output 3 6 2 16" xfId="3679" xr:uid="{00000000-0005-0000-0000-0000DF000000}"/>
    <cellStyle name="Output 3 6 2 17" xfId="4026" xr:uid="{00000000-0005-0000-0000-0000DF000000}"/>
    <cellStyle name="Output 3 6 2 18" xfId="4330" xr:uid="{00000000-0005-0000-0000-0000DF000000}"/>
    <cellStyle name="Output 3 6 2 19" xfId="4578" xr:uid="{00000000-0005-0000-0000-0000DF000000}"/>
    <cellStyle name="Output 3 6 2 2" xfId="498" xr:uid="{00000000-0005-0000-0000-0000DF000000}"/>
    <cellStyle name="Output 3 6 2 20" xfId="4779" xr:uid="{00000000-0005-0000-0000-0000DF000000}"/>
    <cellStyle name="Output 3 6 2 3" xfId="592" xr:uid="{00000000-0005-0000-0000-0000DF000000}"/>
    <cellStyle name="Output 3 6 2 4" xfId="948" xr:uid="{00000000-0005-0000-0000-0000DF000000}"/>
    <cellStyle name="Output 3 6 2 5" xfId="1190" xr:uid="{00000000-0005-0000-0000-0000DF000000}"/>
    <cellStyle name="Output 3 6 2 6" xfId="1427" xr:uid="{00000000-0005-0000-0000-0000DF000000}"/>
    <cellStyle name="Output 3 6 2 7" xfId="1663" xr:uid="{00000000-0005-0000-0000-0000DF000000}"/>
    <cellStyle name="Output 3 6 2 8" xfId="1899" xr:uid="{00000000-0005-0000-0000-0000DF000000}"/>
    <cellStyle name="Output 3 6 2 9" xfId="2179" xr:uid="{00000000-0005-0000-0000-0000DF000000}"/>
    <cellStyle name="Output 3 6 20" xfId="4597" xr:uid="{00000000-0005-0000-0000-0000DE000000}"/>
    <cellStyle name="Output 3 6 21" xfId="4659" xr:uid="{00000000-0005-0000-0000-0000DE000000}"/>
    <cellStyle name="Output 3 6 3" xfId="377" xr:uid="{00000000-0005-0000-0000-0000DE000000}"/>
    <cellStyle name="Output 3 6 4" xfId="656" xr:uid="{00000000-0005-0000-0000-0000DE000000}"/>
    <cellStyle name="Output 3 6 5" xfId="857" xr:uid="{00000000-0005-0000-0000-0000DE000000}"/>
    <cellStyle name="Output 3 6 6" xfId="1070" xr:uid="{00000000-0005-0000-0000-0000DE000000}"/>
    <cellStyle name="Output 3 6 7" xfId="1307" xr:uid="{00000000-0005-0000-0000-0000DE000000}"/>
    <cellStyle name="Output 3 6 8" xfId="1543" xr:uid="{00000000-0005-0000-0000-0000DE000000}"/>
    <cellStyle name="Output 3 6 9" xfId="1779" xr:uid="{00000000-0005-0000-0000-0000DE000000}"/>
    <cellStyle name="Output 3 7" xfId="123" xr:uid="{00000000-0005-0000-0000-0000E0000000}"/>
    <cellStyle name="Output 3 7 10" xfId="2084" xr:uid="{00000000-0005-0000-0000-0000E0000000}"/>
    <cellStyle name="Output 3 7 11" xfId="2308" xr:uid="{00000000-0005-0000-0000-0000E0000000}"/>
    <cellStyle name="Output 3 7 12" xfId="2548" xr:uid="{00000000-0005-0000-0000-0000E0000000}"/>
    <cellStyle name="Output 3 7 13" xfId="2910" xr:uid="{00000000-0005-0000-0000-0000E0000000}"/>
    <cellStyle name="Output 3 7 14" xfId="3043" xr:uid="{00000000-0005-0000-0000-0000E0000000}"/>
    <cellStyle name="Output 3 7 15" xfId="3386" xr:uid="{00000000-0005-0000-0000-0000E0000000}"/>
    <cellStyle name="Output 3 7 16" xfId="3511" xr:uid="{00000000-0005-0000-0000-0000E0000000}"/>
    <cellStyle name="Output 3 7 17" xfId="3747" xr:uid="{00000000-0005-0000-0000-0000E0000000}"/>
    <cellStyle name="Output 3 7 18" xfId="4119" xr:uid="{00000000-0005-0000-0000-0000E0000000}"/>
    <cellStyle name="Output 3 7 19" xfId="4235" xr:uid="{00000000-0005-0000-0000-0000E0000000}"/>
    <cellStyle name="Output 3 7 2" xfId="244" xr:uid="{00000000-0005-0000-0000-0000E1000000}"/>
    <cellStyle name="Output 3 7 2 10" xfId="2351" xr:uid="{00000000-0005-0000-0000-0000E1000000}"/>
    <cellStyle name="Output 3 7 2 11" xfId="2590" xr:uid="{00000000-0005-0000-0000-0000E1000000}"/>
    <cellStyle name="Output 3 7 2 12" xfId="2849" xr:uid="{00000000-0005-0000-0000-0000E1000000}"/>
    <cellStyle name="Output 3 7 2 13" xfId="3164" xr:uid="{00000000-0005-0000-0000-0000E1000000}"/>
    <cellStyle name="Output 3 7 2 14" xfId="3325" xr:uid="{00000000-0005-0000-0000-0000E1000000}"/>
    <cellStyle name="Output 3 7 2 15" xfId="3632" xr:uid="{00000000-0005-0000-0000-0000E1000000}"/>
    <cellStyle name="Output 3 7 2 16" xfId="3788" xr:uid="{00000000-0005-0000-0000-0000E1000000}"/>
    <cellStyle name="Output 3 7 2 17" xfId="3970" xr:uid="{00000000-0005-0000-0000-0000E1000000}"/>
    <cellStyle name="Output 3 7 2 18" xfId="4356" xr:uid="{00000000-0005-0000-0000-0000E1000000}"/>
    <cellStyle name="Output 3 7 2 19" xfId="4454" xr:uid="{00000000-0005-0000-0000-0000E1000000}"/>
    <cellStyle name="Output 3 7 2 2" xfId="524" xr:uid="{00000000-0005-0000-0000-0000E1000000}"/>
    <cellStyle name="Output 3 7 2 20" xfId="4805" xr:uid="{00000000-0005-0000-0000-0000E1000000}"/>
    <cellStyle name="Output 3 7 2 3" xfId="575" xr:uid="{00000000-0005-0000-0000-0000E1000000}"/>
    <cellStyle name="Output 3 7 2 4" xfId="919" xr:uid="{00000000-0005-0000-0000-0000E1000000}"/>
    <cellStyle name="Output 3 7 2 5" xfId="1216" xr:uid="{00000000-0005-0000-0000-0000E1000000}"/>
    <cellStyle name="Output 3 7 2 6" xfId="1453" xr:uid="{00000000-0005-0000-0000-0000E1000000}"/>
    <cellStyle name="Output 3 7 2 7" xfId="1689" xr:uid="{00000000-0005-0000-0000-0000E1000000}"/>
    <cellStyle name="Output 3 7 2 8" xfId="1925" xr:uid="{00000000-0005-0000-0000-0000E1000000}"/>
    <cellStyle name="Output 3 7 2 9" xfId="2205" xr:uid="{00000000-0005-0000-0000-0000E1000000}"/>
    <cellStyle name="Output 3 7 20" xfId="4496" xr:uid="{00000000-0005-0000-0000-0000E0000000}"/>
    <cellStyle name="Output 3 7 21" xfId="4685" xr:uid="{00000000-0005-0000-0000-0000E0000000}"/>
    <cellStyle name="Output 3 7 3" xfId="403" xr:uid="{00000000-0005-0000-0000-0000E0000000}"/>
    <cellStyle name="Output 3 7 4" xfId="625" xr:uid="{00000000-0005-0000-0000-0000E0000000}"/>
    <cellStyle name="Output 3 7 5" xfId="976" xr:uid="{00000000-0005-0000-0000-0000E0000000}"/>
    <cellStyle name="Output 3 7 6" xfId="1096" xr:uid="{00000000-0005-0000-0000-0000E0000000}"/>
    <cellStyle name="Output 3 7 7" xfId="1333" xr:uid="{00000000-0005-0000-0000-0000E0000000}"/>
    <cellStyle name="Output 3 7 8" xfId="1569" xr:uid="{00000000-0005-0000-0000-0000E0000000}"/>
    <cellStyle name="Output 3 7 9" xfId="1805" xr:uid="{00000000-0005-0000-0000-0000E0000000}"/>
    <cellStyle name="Output 3 8" xfId="131" xr:uid="{00000000-0005-0000-0000-0000E2000000}"/>
    <cellStyle name="Output 3 8 10" xfId="2092" xr:uid="{00000000-0005-0000-0000-0000E2000000}"/>
    <cellStyle name="Output 3 8 11" xfId="2345" xr:uid="{00000000-0005-0000-0000-0000E2000000}"/>
    <cellStyle name="Output 3 8 12" xfId="2584" xr:uid="{00000000-0005-0000-0000-0000E2000000}"/>
    <cellStyle name="Output 3 8 13" xfId="2851" xr:uid="{00000000-0005-0000-0000-0000E2000000}"/>
    <cellStyle name="Output 3 8 14" xfId="3051" xr:uid="{00000000-0005-0000-0000-0000E2000000}"/>
    <cellStyle name="Output 3 8 15" xfId="3327" xr:uid="{00000000-0005-0000-0000-0000E2000000}"/>
    <cellStyle name="Output 3 8 16" xfId="3519" xr:uid="{00000000-0005-0000-0000-0000E2000000}"/>
    <cellStyle name="Output 3 8 17" xfId="3782" xr:uid="{00000000-0005-0000-0000-0000E2000000}"/>
    <cellStyle name="Output 3 8 18" xfId="4056" xr:uid="{00000000-0005-0000-0000-0000E2000000}"/>
    <cellStyle name="Output 3 8 19" xfId="4243" xr:uid="{00000000-0005-0000-0000-0000E2000000}"/>
    <cellStyle name="Output 3 8 2" xfId="252" xr:uid="{00000000-0005-0000-0000-0000E3000000}"/>
    <cellStyle name="Output 3 8 2 10" xfId="2261" xr:uid="{00000000-0005-0000-0000-0000E3000000}"/>
    <cellStyle name="Output 3 8 2 11" xfId="2501" xr:uid="{00000000-0005-0000-0000-0000E3000000}"/>
    <cellStyle name="Output 3 8 2 12" xfId="2811" xr:uid="{00000000-0005-0000-0000-0000E3000000}"/>
    <cellStyle name="Output 3 8 2 13" xfId="3172" xr:uid="{00000000-0005-0000-0000-0000E3000000}"/>
    <cellStyle name="Output 3 8 2 14" xfId="3288" xr:uid="{00000000-0005-0000-0000-0000E3000000}"/>
    <cellStyle name="Output 3 8 2 15" xfId="3640" xr:uid="{00000000-0005-0000-0000-0000E3000000}"/>
    <cellStyle name="Output 3 8 2 16" xfId="3700" xr:uid="{00000000-0005-0000-0000-0000E3000000}"/>
    <cellStyle name="Output 3 8 2 17" xfId="4037" xr:uid="{00000000-0005-0000-0000-0000E3000000}"/>
    <cellStyle name="Output 3 8 2 18" xfId="4364" xr:uid="{00000000-0005-0000-0000-0000E3000000}"/>
    <cellStyle name="Output 3 8 2 19" xfId="4548" xr:uid="{00000000-0005-0000-0000-0000E3000000}"/>
    <cellStyle name="Output 3 8 2 2" xfId="532" xr:uid="{00000000-0005-0000-0000-0000E3000000}"/>
    <cellStyle name="Output 3 8 2 20" xfId="4813" xr:uid="{00000000-0005-0000-0000-0000E3000000}"/>
    <cellStyle name="Output 3 8 2 3" xfId="296" xr:uid="{00000000-0005-0000-0000-0000E3000000}"/>
    <cellStyle name="Output 3 8 2 4" xfId="886" xr:uid="{00000000-0005-0000-0000-0000E3000000}"/>
    <cellStyle name="Output 3 8 2 5" xfId="1224" xr:uid="{00000000-0005-0000-0000-0000E3000000}"/>
    <cellStyle name="Output 3 8 2 6" xfId="1461" xr:uid="{00000000-0005-0000-0000-0000E3000000}"/>
    <cellStyle name="Output 3 8 2 7" xfId="1697" xr:uid="{00000000-0005-0000-0000-0000E3000000}"/>
    <cellStyle name="Output 3 8 2 8" xfId="1933" xr:uid="{00000000-0005-0000-0000-0000E3000000}"/>
    <cellStyle name="Output 3 8 2 9" xfId="2213" xr:uid="{00000000-0005-0000-0000-0000E3000000}"/>
    <cellStyle name="Output 3 8 20" xfId="4443" xr:uid="{00000000-0005-0000-0000-0000E2000000}"/>
    <cellStyle name="Output 3 8 21" xfId="4693" xr:uid="{00000000-0005-0000-0000-0000E2000000}"/>
    <cellStyle name="Output 3 8 3" xfId="411" xr:uid="{00000000-0005-0000-0000-0000E2000000}"/>
    <cellStyle name="Output 3 8 4" xfId="580" xr:uid="{00000000-0005-0000-0000-0000E2000000}"/>
    <cellStyle name="Output 3 8 5" xfId="921" xr:uid="{00000000-0005-0000-0000-0000E2000000}"/>
    <cellStyle name="Output 3 8 6" xfId="1104" xr:uid="{00000000-0005-0000-0000-0000E2000000}"/>
    <cellStyle name="Output 3 8 7" xfId="1341" xr:uid="{00000000-0005-0000-0000-0000E2000000}"/>
    <cellStyle name="Output 3 8 8" xfId="1577" xr:uid="{00000000-0005-0000-0000-0000E2000000}"/>
    <cellStyle name="Output 3 8 9" xfId="1813" xr:uid="{00000000-0005-0000-0000-0000E2000000}"/>
    <cellStyle name="Output 3 9" xfId="138" xr:uid="{00000000-0005-0000-0000-0000E4000000}"/>
    <cellStyle name="Output 3 9 10" xfId="2099" xr:uid="{00000000-0005-0000-0000-0000E4000000}"/>
    <cellStyle name="Output 3 9 11" xfId="2324" xr:uid="{00000000-0005-0000-0000-0000E4000000}"/>
    <cellStyle name="Output 3 9 12" xfId="2564" xr:uid="{00000000-0005-0000-0000-0000E4000000}"/>
    <cellStyle name="Output 3 9 13" xfId="2735" xr:uid="{00000000-0005-0000-0000-0000E4000000}"/>
    <cellStyle name="Output 3 9 14" xfId="3058" xr:uid="{00000000-0005-0000-0000-0000E4000000}"/>
    <cellStyle name="Output 3 9 15" xfId="3217" xr:uid="{00000000-0005-0000-0000-0000E4000000}"/>
    <cellStyle name="Output 3 9 16" xfId="3526" xr:uid="{00000000-0005-0000-0000-0000E4000000}"/>
    <cellStyle name="Output 3 9 17" xfId="3762" xr:uid="{00000000-0005-0000-0000-0000E4000000}"/>
    <cellStyle name="Output 3 9 18" xfId="3984" xr:uid="{00000000-0005-0000-0000-0000E4000000}"/>
    <cellStyle name="Output 3 9 19" xfId="4250" xr:uid="{00000000-0005-0000-0000-0000E4000000}"/>
    <cellStyle name="Output 3 9 2" xfId="259" xr:uid="{00000000-0005-0000-0000-0000E5000000}"/>
    <cellStyle name="Output 3 9 2 10" xfId="2347" xr:uid="{00000000-0005-0000-0000-0000E5000000}"/>
    <cellStyle name="Output 3 9 2 11" xfId="2586" xr:uid="{00000000-0005-0000-0000-0000E5000000}"/>
    <cellStyle name="Output 3 9 2 12" xfId="2656" xr:uid="{00000000-0005-0000-0000-0000E5000000}"/>
    <cellStyle name="Output 3 9 2 13" xfId="3179" xr:uid="{00000000-0005-0000-0000-0000E5000000}"/>
    <cellStyle name="Output 3 9 2 14" xfId="2953" xr:uid="{00000000-0005-0000-0000-0000E5000000}"/>
    <cellStyle name="Output 3 9 2 15" xfId="3647" xr:uid="{00000000-0005-0000-0000-0000E5000000}"/>
    <cellStyle name="Output 3 9 2 16" xfId="3784" xr:uid="{00000000-0005-0000-0000-0000E5000000}"/>
    <cellStyle name="Output 3 9 2 17" xfId="4109" xr:uid="{00000000-0005-0000-0000-0000E5000000}"/>
    <cellStyle name="Output 3 9 2 18" xfId="4371" xr:uid="{00000000-0005-0000-0000-0000E5000000}"/>
    <cellStyle name="Output 3 9 2 19" xfId="3946" xr:uid="{00000000-0005-0000-0000-0000E5000000}"/>
    <cellStyle name="Output 3 9 2 2" xfId="539" xr:uid="{00000000-0005-0000-0000-0000E5000000}"/>
    <cellStyle name="Output 3 9 2 20" xfId="4820" xr:uid="{00000000-0005-0000-0000-0000E5000000}"/>
    <cellStyle name="Output 3 9 2 3" xfId="302" xr:uid="{00000000-0005-0000-0000-0000E5000000}"/>
    <cellStyle name="Output 3 9 2 4" xfId="784" xr:uid="{00000000-0005-0000-0000-0000E5000000}"/>
    <cellStyle name="Output 3 9 2 5" xfId="1231" xr:uid="{00000000-0005-0000-0000-0000E5000000}"/>
    <cellStyle name="Output 3 9 2 6" xfId="1468" xr:uid="{00000000-0005-0000-0000-0000E5000000}"/>
    <cellStyle name="Output 3 9 2 7" xfId="1704" xr:uid="{00000000-0005-0000-0000-0000E5000000}"/>
    <cellStyle name="Output 3 9 2 8" xfId="1940" xr:uid="{00000000-0005-0000-0000-0000E5000000}"/>
    <cellStyle name="Output 3 9 2 9" xfId="2220" xr:uid="{00000000-0005-0000-0000-0000E5000000}"/>
    <cellStyle name="Output 3 9 20" xfId="4585" xr:uid="{00000000-0005-0000-0000-0000E4000000}"/>
    <cellStyle name="Output 3 9 21" xfId="4700" xr:uid="{00000000-0005-0000-0000-0000E4000000}"/>
    <cellStyle name="Output 3 9 3" xfId="418" xr:uid="{00000000-0005-0000-0000-0000E4000000}"/>
    <cellStyle name="Output 3 9 4" xfId="626" xr:uid="{00000000-0005-0000-0000-0000E4000000}"/>
    <cellStyle name="Output 3 9 5" xfId="814" xr:uid="{00000000-0005-0000-0000-0000E4000000}"/>
    <cellStyle name="Output 3 9 6" xfId="1111" xr:uid="{00000000-0005-0000-0000-0000E4000000}"/>
    <cellStyle name="Output 3 9 7" xfId="1348" xr:uid="{00000000-0005-0000-0000-0000E4000000}"/>
    <cellStyle name="Output 3 9 8" xfId="1584" xr:uid="{00000000-0005-0000-0000-0000E4000000}"/>
    <cellStyle name="Output 3 9 9" xfId="1820" xr:uid="{00000000-0005-0000-0000-0000E4000000}"/>
    <cellStyle name="Percent" xfId="280" builtinId="5"/>
    <cellStyle name="Title 2" xfId="37" xr:uid="{00000000-0005-0000-0000-0000E7000000}"/>
    <cellStyle name="Total 2" xfId="42" xr:uid="{00000000-0005-0000-0000-0000E8000000}"/>
    <cellStyle name="Total 2 10" xfId="140" xr:uid="{00000000-0005-0000-0000-0000E9000000}"/>
    <cellStyle name="Total 2 10 10" xfId="2101" xr:uid="{00000000-0005-0000-0000-0000E9000000}"/>
    <cellStyle name="Total 2 10 11" xfId="2470" xr:uid="{00000000-0005-0000-0000-0000E9000000}"/>
    <cellStyle name="Total 2 10 12" xfId="2708" xr:uid="{00000000-0005-0000-0000-0000E9000000}"/>
    <cellStyle name="Total 2 10 13" xfId="2902" xr:uid="{00000000-0005-0000-0000-0000E9000000}"/>
    <cellStyle name="Total 2 10 14" xfId="3060" xr:uid="{00000000-0005-0000-0000-0000E9000000}"/>
    <cellStyle name="Total 2 10 15" xfId="3378" xr:uid="{00000000-0005-0000-0000-0000E9000000}"/>
    <cellStyle name="Total 2 10 16" xfId="3528" xr:uid="{00000000-0005-0000-0000-0000E9000000}"/>
    <cellStyle name="Total 2 10 17" xfId="3907" xr:uid="{00000000-0005-0000-0000-0000E9000000}"/>
    <cellStyle name="Total 2 10 18" xfId="4068" xr:uid="{00000000-0005-0000-0000-0000E9000000}"/>
    <cellStyle name="Total 2 10 19" xfId="4252" xr:uid="{00000000-0005-0000-0000-0000E9000000}"/>
    <cellStyle name="Total 2 10 2" xfId="261" xr:uid="{00000000-0005-0000-0000-0000EA000000}"/>
    <cellStyle name="Total 2 10 2 10" xfId="2353" xr:uid="{00000000-0005-0000-0000-0000EA000000}"/>
    <cellStyle name="Total 2 10 2 11" xfId="2592" xr:uid="{00000000-0005-0000-0000-0000EA000000}"/>
    <cellStyle name="Total 2 10 2 12" xfId="2697" xr:uid="{00000000-0005-0000-0000-0000EA000000}"/>
    <cellStyle name="Total 2 10 2 13" xfId="3181" xr:uid="{00000000-0005-0000-0000-0000EA000000}"/>
    <cellStyle name="Total 2 10 2 14" xfId="2746" xr:uid="{00000000-0005-0000-0000-0000EA000000}"/>
    <cellStyle name="Total 2 10 2 15" xfId="3649" xr:uid="{00000000-0005-0000-0000-0000EA000000}"/>
    <cellStyle name="Total 2 10 2 16" xfId="3790" xr:uid="{00000000-0005-0000-0000-0000EA000000}"/>
    <cellStyle name="Total 2 10 2 17" xfId="3322" xr:uid="{00000000-0005-0000-0000-0000EA000000}"/>
    <cellStyle name="Total 2 10 2 18" xfId="4373" xr:uid="{00000000-0005-0000-0000-0000EA000000}"/>
    <cellStyle name="Total 2 10 2 19" xfId="4435" xr:uid="{00000000-0005-0000-0000-0000EA000000}"/>
    <cellStyle name="Total 2 10 2 2" xfId="541" xr:uid="{00000000-0005-0000-0000-0000EA000000}"/>
    <cellStyle name="Total 2 10 2 20" xfId="4822" xr:uid="{00000000-0005-0000-0000-0000EA000000}"/>
    <cellStyle name="Total 2 10 2 3" xfId="304" xr:uid="{00000000-0005-0000-0000-0000EA000000}"/>
    <cellStyle name="Total 2 10 2 4" xfId="568" xr:uid="{00000000-0005-0000-0000-0000EA000000}"/>
    <cellStyle name="Total 2 10 2 5" xfId="1233" xr:uid="{00000000-0005-0000-0000-0000EA000000}"/>
    <cellStyle name="Total 2 10 2 6" xfId="1470" xr:uid="{00000000-0005-0000-0000-0000EA000000}"/>
    <cellStyle name="Total 2 10 2 7" xfId="1706" xr:uid="{00000000-0005-0000-0000-0000EA000000}"/>
    <cellStyle name="Total 2 10 2 8" xfId="1942" xr:uid="{00000000-0005-0000-0000-0000EA000000}"/>
    <cellStyle name="Total 2 10 2 9" xfId="2222" xr:uid="{00000000-0005-0000-0000-0000EA000000}"/>
    <cellStyle name="Total 2 10 20" xfId="4516" xr:uid="{00000000-0005-0000-0000-0000E9000000}"/>
    <cellStyle name="Total 2 10 21" xfId="4702" xr:uid="{00000000-0005-0000-0000-0000E9000000}"/>
    <cellStyle name="Total 2 10 3" xfId="420" xr:uid="{00000000-0005-0000-0000-0000E9000000}"/>
    <cellStyle name="Total 2 10 4" xfId="629" xr:uid="{00000000-0005-0000-0000-0000E9000000}"/>
    <cellStyle name="Total 2 10 5" xfId="968" xr:uid="{00000000-0005-0000-0000-0000E9000000}"/>
    <cellStyle name="Total 2 10 6" xfId="1113" xr:uid="{00000000-0005-0000-0000-0000E9000000}"/>
    <cellStyle name="Total 2 10 7" xfId="1350" xr:uid="{00000000-0005-0000-0000-0000E9000000}"/>
    <cellStyle name="Total 2 10 8" xfId="1586" xr:uid="{00000000-0005-0000-0000-0000E9000000}"/>
    <cellStyle name="Total 2 10 9" xfId="1822" xr:uid="{00000000-0005-0000-0000-0000E9000000}"/>
    <cellStyle name="Total 2 11" xfId="147" xr:uid="{00000000-0005-0000-0000-0000EB000000}"/>
    <cellStyle name="Total 2 11 10" xfId="2108" xr:uid="{00000000-0005-0000-0000-0000EB000000}"/>
    <cellStyle name="Total 2 11 11" xfId="2409" xr:uid="{00000000-0005-0000-0000-0000EB000000}"/>
    <cellStyle name="Total 2 11 12" xfId="2647" xr:uid="{00000000-0005-0000-0000-0000EB000000}"/>
    <cellStyle name="Total 2 11 13" xfId="2561" xr:uid="{00000000-0005-0000-0000-0000EB000000}"/>
    <cellStyle name="Total 2 11 14" xfId="3067" xr:uid="{00000000-0005-0000-0000-0000EB000000}"/>
    <cellStyle name="Total 2 11 15" xfId="2774" xr:uid="{00000000-0005-0000-0000-0000EB000000}"/>
    <cellStyle name="Total 2 11 16" xfId="3535" xr:uid="{00000000-0005-0000-0000-0000EB000000}"/>
    <cellStyle name="Total 2 11 17" xfId="3846" xr:uid="{00000000-0005-0000-0000-0000EB000000}"/>
    <cellStyle name="Total 2 11 18" xfId="3684" xr:uid="{00000000-0005-0000-0000-0000EB000000}"/>
    <cellStyle name="Total 2 11 19" xfId="4259" xr:uid="{00000000-0005-0000-0000-0000EB000000}"/>
    <cellStyle name="Total 2 11 2" xfId="268" xr:uid="{00000000-0005-0000-0000-0000EC000000}"/>
    <cellStyle name="Total 2 11 2 10" xfId="2277" xr:uid="{00000000-0005-0000-0000-0000EC000000}"/>
    <cellStyle name="Total 2 11 2 11" xfId="2517" xr:uid="{00000000-0005-0000-0000-0000EC000000}"/>
    <cellStyle name="Total 2 11 2 12" xfId="2663" xr:uid="{00000000-0005-0000-0000-0000EC000000}"/>
    <cellStyle name="Total 2 11 2 13" xfId="3188" xr:uid="{00000000-0005-0000-0000-0000EC000000}"/>
    <cellStyle name="Total 2 11 2 14" xfId="2963" xr:uid="{00000000-0005-0000-0000-0000EC000000}"/>
    <cellStyle name="Total 2 11 2 15" xfId="3656" xr:uid="{00000000-0005-0000-0000-0000EC000000}"/>
    <cellStyle name="Total 2 11 2 16" xfId="3716" xr:uid="{00000000-0005-0000-0000-0000EC000000}"/>
    <cellStyle name="Total 2 11 2 17" xfId="3951" xr:uid="{00000000-0005-0000-0000-0000EC000000}"/>
    <cellStyle name="Total 2 11 2 18" xfId="4380" xr:uid="{00000000-0005-0000-0000-0000EC000000}"/>
    <cellStyle name="Total 2 11 2 19" xfId="4447" xr:uid="{00000000-0005-0000-0000-0000EC000000}"/>
    <cellStyle name="Total 2 11 2 2" xfId="548" xr:uid="{00000000-0005-0000-0000-0000EC000000}"/>
    <cellStyle name="Total 2 11 2 20" xfId="4829" xr:uid="{00000000-0005-0000-0000-0000EC000000}"/>
    <cellStyle name="Total 2 11 2 3" xfId="318" xr:uid="{00000000-0005-0000-0000-0000EC000000}"/>
    <cellStyle name="Total 2 11 2 4" xfId="723" xr:uid="{00000000-0005-0000-0000-0000EC000000}"/>
    <cellStyle name="Total 2 11 2 5" xfId="1240" xr:uid="{00000000-0005-0000-0000-0000EC000000}"/>
    <cellStyle name="Total 2 11 2 6" xfId="1477" xr:uid="{00000000-0005-0000-0000-0000EC000000}"/>
    <cellStyle name="Total 2 11 2 7" xfId="1713" xr:uid="{00000000-0005-0000-0000-0000EC000000}"/>
    <cellStyle name="Total 2 11 2 8" xfId="1949" xr:uid="{00000000-0005-0000-0000-0000EC000000}"/>
    <cellStyle name="Total 2 11 2 9" xfId="2229" xr:uid="{00000000-0005-0000-0000-0000EC000000}"/>
    <cellStyle name="Total 2 11 20" xfId="4108" xr:uid="{00000000-0005-0000-0000-0000EB000000}"/>
    <cellStyle name="Total 2 11 21" xfId="4709" xr:uid="{00000000-0005-0000-0000-0000EB000000}"/>
    <cellStyle name="Total 2 11 3" xfId="427" xr:uid="{00000000-0005-0000-0000-0000EB000000}"/>
    <cellStyle name="Total 2 11 4" xfId="291" xr:uid="{00000000-0005-0000-0000-0000EB000000}"/>
    <cellStyle name="Total 2 11 5" xfId="606" xr:uid="{00000000-0005-0000-0000-0000EB000000}"/>
    <cellStyle name="Total 2 11 6" xfId="1120" xr:uid="{00000000-0005-0000-0000-0000EB000000}"/>
    <cellStyle name="Total 2 11 7" xfId="1357" xr:uid="{00000000-0005-0000-0000-0000EB000000}"/>
    <cellStyle name="Total 2 11 8" xfId="1593" xr:uid="{00000000-0005-0000-0000-0000EB000000}"/>
    <cellStyle name="Total 2 11 9" xfId="1829" xr:uid="{00000000-0005-0000-0000-0000EB000000}"/>
    <cellStyle name="Total 2 12" xfId="153" xr:uid="{00000000-0005-0000-0000-0000ED000000}"/>
    <cellStyle name="Total 2 12 10" xfId="2114" xr:uid="{00000000-0005-0000-0000-0000ED000000}"/>
    <cellStyle name="Total 2 12 11" xfId="2378" xr:uid="{00000000-0005-0000-0000-0000ED000000}"/>
    <cellStyle name="Total 2 12 12" xfId="2616" xr:uid="{00000000-0005-0000-0000-0000ED000000}"/>
    <cellStyle name="Total 2 12 13" xfId="2814" xr:uid="{00000000-0005-0000-0000-0000ED000000}"/>
    <cellStyle name="Total 2 12 14" xfId="3073" xr:uid="{00000000-0005-0000-0000-0000ED000000}"/>
    <cellStyle name="Total 2 12 15" xfId="3291" xr:uid="{00000000-0005-0000-0000-0000ED000000}"/>
    <cellStyle name="Total 2 12 16" xfId="3541" xr:uid="{00000000-0005-0000-0000-0000ED000000}"/>
    <cellStyle name="Total 2 12 17" xfId="3815" xr:uid="{00000000-0005-0000-0000-0000ED000000}"/>
    <cellStyle name="Total 2 12 18" xfId="4146" xr:uid="{00000000-0005-0000-0000-0000ED000000}"/>
    <cellStyle name="Total 2 12 19" xfId="4265" xr:uid="{00000000-0005-0000-0000-0000ED000000}"/>
    <cellStyle name="Total 2 12 2" xfId="274" xr:uid="{00000000-0005-0000-0000-0000EE000000}"/>
    <cellStyle name="Total 2 12 2 10" xfId="2299" xr:uid="{00000000-0005-0000-0000-0000EE000000}"/>
    <cellStyle name="Total 2 12 2 11" xfId="2539" xr:uid="{00000000-0005-0000-0000-0000EE000000}"/>
    <cellStyle name="Total 2 12 2 12" xfId="2634" xr:uid="{00000000-0005-0000-0000-0000EE000000}"/>
    <cellStyle name="Total 2 12 2 13" xfId="3194" xr:uid="{00000000-0005-0000-0000-0000EE000000}"/>
    <cellStyle name="Total 2 12 2 14" xfId="2960" xr:uid="{00000000-0005-0000-0000-0000EE000000}"/>
    <cellStyle name="Total 2 12 2 15" xfId="3662" xr:uid="{00000000-0005-0000-0000-0000EE000000}"/>
    <cellStyle name="Total 2 12 2 16" xfId="3738" xr:uid="{00000000-0005-0000-0000-0000EE000000}"/>
    <cellStyle name="Total 2 12 2 17" xfId="4073" xr:uid="{00000000-0005-0000-0000-0000EE000000}"/>
    <cellStyle name="Total 2 12 2 18" xfId="4386" xr:uid="{00000000-0005-0000-0000-0000EE000000}"/>
    <cellStyle name="Total 2 12 2 19" xfId="4412" xr:uid="{00000000-0005-0000-0000-0000EE000000}"/>
    <cellStyle name="Total 2 12 2 2" xfId="554" xr:uid="{00000000-0005-0000-0000-0000EE000000}"/>
    <cellStyle name="Total 2 12 2 20" xfId="4835" xr:uid="{00000000-0005-0000-0000-0000EE000000}"/>
    <cellStyle name="Total 2 12 2 3" xfId="281" xr:uid="{00000000-0005-0000-0000-0000EE000000}"/>
    <cellStyle name="Total 2 12 2 4" xfId="785" xr:uid="{00000000-0005-0000-0000-0000EE000000}"/>
    <cellStyle name="Total 2 12 2 5" xfId="1246" xr:uid="{00000000-0005-0000-0000-0000EE000000}"/>
    <cellStyle name="Total 2 12 2 6" xfId="1483" xr:uid="{00000000-0005-0000-0000-0000EE000000}"/>
    <cellStyle name="Total 2 12 2 7" xfId="1719" xr:uid="{00000000-0005-0000-0000-0000EE000000}"/>
    <cellStyle name="Total 2 12 2 8" xfId="1955" xr:uid="{00000000-0005-0000-0000-0000EE000000}"/>
    <cellStyle name="Total 2 12 2 9" xfId="2235" xr:uid="{00000000-0005-0000-0000-0000EE000000}"/>
    <cellStyle name="Total 2 12 20" xfId="3993" xr:uid="{00000000-0005-0000-0000-0000ED000000}"/>
    <cellStyle name="Total 2 12 21" xfId="4715" xr:uid="{00000000-0005-0000-0000-0000ED000000}"/>
    <cellStyle name="Total 2 12 3" xfId="433" xr:uid="{00000000-0005-0000-0000-0000ED000000}"/>
    <cellStyle name="Total 2 12 4" xfId="761" xr:uid="{00000000-0005-0000-0000-0000ED000000}"/>
    <cellStyle name="Total 2 12 5" xfId="889" xr:uid="{00000000-0005-0000-0000-0000ED000000}"/>
    <cellStyle name="Total 2 12 6" xfId="1126" xr:uid="{00000000-0005-0000-0000-0000ED000000}"/>
    <cellStyle name="Total 2 12 7" xfId="1363" xr:uid="{00000000-0005-0000-0000-0000ED000000}"/>
    <cellStyle name="Total 2 12 8" xfId="1599" xr:uid="{00000000-0005-0000-0000-0000ED000000}"/>
    <cellStyle name="Total 2 12 9" xfId="1835" xr:uid="{00000000-0005-0000-0000-0000ED000000}"/>
    <cellStyle name="Total 2 13" xfId="164" xr:uid="{00000000-0005-0000-0000-0000EF000000}"/>
    <cellStyle name="Total 2 13 10" xfId="2435" xr:uid="{00000000-0005-0000-0000-0000EF000000}"/>
    <cellStyle name="Total 2 13 11" xfId="2673" xr:uid="{00000000-0005-0000-0000-0000EF000000}"/>
    <cellStyle name="Total 2 13 12" xfId="2871" xr:uid="{00000000-0005-0000-0000-0000EF000000}"/>
    <cellStyle name="Total 2 13 13" xfId="3084" xr:uid="{00000000-0005-0000-0000-0000EF000000}"/>
    <cellStyle name="Total 2 13 14" xfId="3347" xr:uid="{00000000-0005-0000-0000-0000EF000000}"/>
    <cellStyle name="Total 2 13 15" xfId="3552" xr:uid="{00000000-0005-0000-0000-0000EF000000}"/>
    <cellStyle name="Total 2 13 16" xfId="3872" xr:uid="{00000000-0005-0000-0000-0000EF000000}"/>
    <cellStyle name="Total 2 13 17" xfId="4023" xr:uid="{00000000-0005-0000-0000-0000EF000000}"/>
    <cellStyle name="Total 2 13 18" xfId="4276" xr:uid="{00000000-0005-0000-0000-0000EF000000}"/>
    <cellStyle name="Total 2 13 19" xfId="4414" xr:uid="{00000000-0005-0000-0000-0000EF000000}"/>
    <cellStyle name="Total 2 13 2" xfId="444" xr:uid="{00000000-0005-0000-0000-0000EF000000}"/>
    <cellStyle name="Total 2 13 20" xfId="4725" xr:uid="{00000000-0005-0000-0000-0000EF000000}"/>
    <cellStyle name="Total 2 13 3" xfId="585" xr:uid="{00000000-0005-0000-0000-0000EF000000}"/>
    <cellStyle name="Total 2 13 4" xfId="940" xr:uid="{00000000-0005-0000-0000-0000EF000000}"/>
    <cellStyle name="Total 2 13 5" xfId="1136" xr:uid="{00000000-0005-0000-0000-0000EF000000}"/>
    <cellStyle name="Total 2 13 6" xfId="1373" xr:uid="{00000000-0005-0000-0000-0000EF000000}"/>
    <cellStyle name="Total 2 13 7" xfId="1609" xr:uid="{00000000-0005-0000-0000-0000EF000000}"/>
    <cellStyle name="Total 2 13 8" xfId="1845" xr:uid="{00000000-0005-0000-0000-0000EF000000}"/>
    <cellStyle name="Total 2 13 9" xfId="2125" xr:uid="{00000000-0005-0000-0000-0000EF000000}"/>
    <cellStyle name="Total 2 14" xfId="322" xr:uid="{00000000-0005-0000-0000-0000E8000000}"/>
    <cellStyle name="Total 2 15" xfId="666" xr:uid="{00000000-0005-0000-0000-0000E8000000}"/>
    <cellStyle name="Total 2 16" xfId="1009" xr:uid="{00000000-0005-0000-0000-0000E8000000}"/>
    <cellStyle name="Total 2 17" xfId="1015" xr:uid="{00000000-0005-0000-0000-0000E8000000}"/>
    <cellStyle name="Total 2 18" xfId="1252" xr:uid="{00000000-0005-0000-0000-0000E8000000}"/>
    <cellStyle name="Total 2 19" xfId="1489" xr:uid="{00000000-0005-0000-0000-0000E8000000}"/>
    <cellStyle name="Total 2 2" xfId="62" xr:uid="{00000000-0005-0000-0000-0000F0000000}"/>
    <cellStyle name="Total 2 2 10" xfId="2023" xr:uid="{00000000-0005-0000-0000-0000F0000000}"/>
    <cellStyle name="Total 2 2 11" xfId="2400" xr:uid="{00000000-0005-0000-0000-0000F0000000}"/>
    <cellStyle name="Total 2 2 12" xfId="2638" xr:uid="{00000000-0005-0000-0000-0000F0000000}"/>
    <cellStyle name="Total 2 2 13" xfId="2764" xr:uid="{00000000-0005-0000-0000-0000F0000000}"/>
    <cellStyle name="Total 2 2 14" xfId="2982" xr:uid="{00000000-0005-0000-0000-0000F0000000}"/>
    <cellStyle name="Total 2 2 15" xfId="3244" xr:uid="{00000000-0005-0000-0000-0000F0000000}"/>
    <cellStyle name="Total 2 2 16" xfId="3450" xr:uid="{00000000-0005-0000-0000-0000F0000000}"/>
    <cellStyle name="Total 2 2 17" xfId="3837" xr:uid="{00000000-0005-0000-0000-0000F0000000}"/>
    <cellStyle name="Total 2 2 18" xfId="3995" xr:uid="{00000000-0005-0000-0000-0000F0000000}"/>
    <cellStyle name="Total 2 2 19" xfId="4174" xr:uid="{00000000-0005-0000-0000-0000F0000000}"/>
    <cellStyle name="Total 2 2 2" xfId="183" xr:uid="{00000000-0005-0000-0000-0000F1000000}"/>
    <cellStyle name="Total 2 2 2 10" xfId="2316" xr:uid="{00000000-0005-0000-0000-0000F1000000}"/>
    <cellStyle name="Total 2 2 2 11" xfId="2556" xr:uid="{00000000-0005-0000-0000-0000F1000000}"/>
    <cellStyle name="Total 2 2 2 12" xfId="2759" xr:uid="{00000000-0005-0000-0000-0000F1000000}"/>
    <cellStyle name="Total 2 2 2 13" xfId="3103" xr:uid="{00000000-0005-0000-0000-0000F1000000}"/>
    <cellStyle name="Total 2 2 2 14" xfId="3239" xr:uid="{00000000-0005-0000-0000-0000F1000000}"/>
    <cellStyle name="Total 2 2 2 15" xfId="3571" xr:uid="{00000000-0005-0000-0000-0000F1000000}"/>
    <cellStyle name="Total 2 2 2 16" xfId="3754" xr:uid="{00000000-0005-0000-0000-0000F1000000}"/>
    <cellStyle name="Total 2 2 2 17" xfId="4058" xr:uid="{00000000-0005-0000-0000-0000F1000000}"/>
    <cellStyle name="Total 2 2 2 18" xfId="4295" xr:uid="{00000000-0005-0000-0000-0000F1000000}"/>
    <cellStyle name="Total 2 2 2 19" xfId="4504" xr:uid="{00000000-0005-0000-0000-0000F1000000}"/>
    <cellStyle name="Total 2 2 2 2" xfId="463" xr:uid="{00000000-0005-0000-0000-0000F1000000}"/>
    <cellStyle name="Total 2 2 2 20" xfId="4744" xr:uid="{00000000-0005-0000-0000-0000F1000000}"/>
    <cellStyle name="Total 2 2 2 3" xfId="700" xr:uid="{00000000-0005-0000-0000-0000F1000000}"/>
    <cellStyle name="Total 2 2 2 4" xfId="835" xr:uid="{00000000-0005-0000-0000-0000F1000000}"/>
    <cellStyle name="Total 2 2 2 5" xfId="1155" xr:uid="{00000000-0005-0000-0000-0000F1000000}"/>
    <cellStyle name="Total 2 2 2 6" xfId="1392" xr:uid="{00000000-0005-0000-0000-0000F1000000}"/>
    <cellStyle name="Total 2 2 2 7" xfId="1628" xr:uid="{00000000-0005-0000-0000-0000F1000000}"/>
    <cellStyle name="Total 2 2 2 8" xfId="1864" xr:uid="{00000000-0005-0000-0000-0000F1000000}"/>
    <cellStyle name="Total 2 2 2 9" xfId="2144" xr:uid="{00000000-0005-0000-0000-0000F1000000}"/>
    <cellStyle name="Total 2 2 20" xfId="4572" xr:uid="{00000000-0005-0000-0000-0000F0000000}"/>
    <cellStyle name="Total 2 2 21" xfId="4624" xr:uid="{00000000-0005-0000-0000-0000F0000000}"/>
    <cellStyle name="Total 2 2 3" xfId="342" xr:uid="{00000000-0005-0000-0000-0000F0000000}"/>
    <cellStyle name="Total 2 2 4" xfId="705" xr:uid="{00000000-0005-0000-0000-0000F0000000}"/>
    <cellStyle name="Total 2 2 5" xfId="840" xr:uid="{00000000-0005-0000-0000-0000F0000000}"/>
    <cellStyle name="Total 2 2 6" xfId="1035" xr:uid="{00000000-0005-0000-0000-0000F0000000}"/>
    <cellStyle name="Total 2 2 7" xfId="1272" xr:uid="{00000000-0005-0000-0000-0000F0000000}"/>
    <cellStyle name="Total 2 2 8" xfId="1508" xr:uid="{00000000-0005-0000-0000-0000F0000000}"/>
    <cellStyle name="Total 2 2 9" xfId="1744" xr:uid="{00000000-0005-0000-0000-0000F0000000}"/>
    <cellStyle name="Total 2 20" xfId="1725" xr:uid="{00000000-0005-0000-0000-0000E8000000}"/>
    <cellStyle name="Total 2 21" xfId="2003" xr:uid="{00000000-0005-0000-0000-0000E8000000}"/>
    <cellStyle name="Total 2 22" xfId="2002" xr:uid="{00000000-0005-0000-0000-0000E8000000}"/>
    <cellStyle name="Total 2 23" xfId="2396" xr:uid="{00000000-0005-0000-0000-0000E8000000}"/>
    <cellStyle name="Total 2 24" xfId="2948" xr:uid="{00000000-0005-0000-0000-0000E8000000}"/>
    <cellStyle name="Total 2 25" xfId="2962" xr:uid="{00000000-0005-0000-0000-0000E8000000}"/>
    <cellStyle name="Total 2 26" xfId="3423" xr:uid="{00000000-0005-0000-0000-0000E8000000}"/>
    <cellStyle name="Total 2 27" xfId="3430" xr:uid="{00000000-0005-0000-0000-0000E8000000}"/>
    <cellStyle name="Total 2 28" xfId="3416" xr:uid="{00000000-0005-0000-0000-0000E8000000}"/>
    <cellStyle name="Total 2 29" xfId="3722" xr:uid="{00000000-0005-0000-0000-0000E8000000}"/>
    <cellStyle name="Total 2 3" xfId="71" xr:uid="{00000000-0005-0000-0000-0000F2000000}"/>
    <cellStyle name="Total 2 3 10" xfId="2032" xr:uid="{00000000-0005-0000-0000-0000F2000000}"/>
    <cellStyle name="Total 2 3 11" xfId="1975" xr:uid="{00000000-0005-0000-0000-0000F2000000}"/>
    <cellStyle name="Total 2 3 12" xfId="2313" xr:uid="{00000000-0005-0000-0000-0000F2000000}"/>
    <cellStyle name="Total 2 3 13" xfId="2828" xr:uid="{00000000-0005-0000-0000-0000F2000000}"/>
    <cellStyle name="Total 2 3 14" xfId="2991" xr:uid="{00000000-0005-0000-0000-0000F2000000}"/>
    <cellStyle name="Total 2 3 15" xfId="3304" xr:uid="{00000000-0005-0000-0000-0000F2000000}"/>
    <cellStyle name="Total 2 3 16" xfId="3459" xr:uid="{00000000-0005-0000-0000-0000F2000000}"/>
    <cellStyle name="Total 2 3 17" xfId="3669" xr:uid="{00000000-0005-0000-0000-0000F2000000}"/>
    <cellStyle name="Total 2 3 18" xfId="3982" xr:uid="{00000000-0005-0000-0000-0000F2000000}"/>
    <cellStyle name="Total 2 3 19" xfId="4183" xr:uid="{00000000-0005-0000-0000-0000F2000000}"/>
    <cellStyle name="Total 2 3 2" xfId="192" xr:uid="{00000000-0005-0000-0000-0000F3000000}"/>
    <cellStyle name="Total 2 3 2 10" xfId="2406" xr:uid="{00000000-0005-0000-0000-0000F3000000}"/>
    <cellStyle name="Total 2 3 2 11" xfId="2644" xr:uid="{00000000-0005-0000-0000-0000F3000000}"/>
    <cellStyle name="Total 2 3 2 12" xfId="2839" xr:uid="{00000000-0005-0000-0000-0000F3000000}"/>
    <cellStyle name="Total 2 3 2 13" xfId="3112" xr:uid="{00000000-0005-0000-0000-0000F3000000}"/>
    <cellStyle name="Total 2 3 2 14" xfId="3315" xr:uid="{00000000-0005-0000-0000-0000F3000000}"/>
    <cellStyle name="Total 2 3 2 15" xfId="3580" xr:uid="{00000000-0005-0000-0000-0000F3000000}"/>
    <cellStyle name="Total 2 3 2 16" xfId="3843" xr:uid="{00000000-0005-0000-0000-0000F3000000}"/>
    <cellStyle name="Total 2 3 2 17" xfId="3959" xr:uid="{00000000-0005-0000-0000-0000F3000000}"/>
    <cellStyle name="Total 2 3 2 18" xfId="4304" xr:uid="{00000000-0005-0000-0000-0000F3000000}"/>
    <cellStyle name="Total 2 3 2 19" xfId="4577" xr:uid="{00000000-0005-0000-0000-0000F3000000}"/>
    <cellStyle name="Total 2 3 2 2" xfId="472" xr:uid="{00000000-0005-0000-0000-0000F3000000}"/>
    <cellStyle name="Total 2 3 2 20" xfId="4753" xr:uid="{00000000-0005-0000-0000-0000F3000000}"/>
    <cellStyle name="Total 2 3 2 3" xfId="752" xr:uid="{00000000-0005-0000-0000-0000F3000000}"/>
    <cellStyle name="Total 2 3 2 4" xfId="910" xr:uid="{00000000-0005-0000-0000-0000F3000000}"/>
    <cellStyle name="Total 2 3 2 5" xfId="1164" xr:uid="{00000000-0005-0000-0000-0000F3000000}"/>
    <cellStyle name="Total 2 3 2 6" xfId="1401" xr:uid="{00000000-0005-0000-0000-0000F3000000}"/>
    <cellStyle name="Total 2 3 2 7" xfId="1637" xr:uid="{00000000-0005-0000-0000-0000F3000000}"/>
    <cellStyle name="Total 2 3 2 8" xfId="1873" xr:uid="{00000000-0005-0000-0000-0000F3000000}"/>
    <cellStyle name="Total 2 3 2 9" xfId="2153" xr:uid="{00000000-0005-0000-0000-0000F3000000}"/>
    <cellStyle name="Total 2 3 20" xfId="4153" xr:uid="{00000000-0005-0000-0000-0000F2000000}"/>
    <cellStyle name="Total 2 3 21" xfId="4633" xr:uid="{00000000-0005-0000-0000-0000F2000000}"/>
    <cellStyle name="Total 2 3 3" xfId="351" xr:uid="{00000000-0005-0000-0000-0000F2000000}"/>
    <cellStyle name="Total 2 3 4" xfId="567" xr:uid="{00000000-0005-0000-0000-0000F2000000}"/>
    <cellStyle name="Total 2 3 5" xfId="901" xr:uid="{00000000-0005-0000-0000-0000F2000000}"/>
    <cellStyle name="Total 2 3 6" xfId="1044" xr:uid="{00000000-0005-0000-0000-0000F2000000}"/>
    <cellStyle name="Total 2 3 7" xfId="1281" xr:uid="{00000000-0005-0000-0000-0000F2000000}"/>
    <cellStyle name="Total 2 3 8" xfId="1517" xr:uid="{00000000-0005-0000-0000-0000F2000000}"/>
    <cellStyle name="Total 2 3 9" xfId="1753" xr:uid="{00000000-0005-0000-0000-0000F2000000}"/>
    <cellStyle name="Total 2 30" xfId="4154" xr:uid="{00000000-0005-0000-0000-0000E8000000}"/>
    <cellStyle name="Total 2 31" xfId="4115" xr:uid="{00000000-0005-0000-0000-0000E8000000}"/>
    <cellStyle name="Total 2 32" xfId="4605" xr:uid="{00000000-0005-0000-0000-0000E8000000}"/>
    <cellStyle name="Total 2 4" xfId="81" xr:uid="{00000000-0005-0000-0000-0000F4000000}"/>
    <cellStyle name="Total 2 4 10" xfId="2042" xr:uid="{00000000-0005-0000-0000-0000F4000000}"/>
    <cellStyle name="Total 2 4 11" xfId="2258" xr:uid="{00000000-0005-0000-0000-0000F4000000}"/>
    <cellStyle name="Total 2 4 12" xfId="2498" xr:uid="{00000000-0005-0000-0000-0000F4000000}"/>
    <cellStyle name="Total 2 4 13" xfId="2868" xr:uid="{00000000-0005-0000-0000-0000F4000000}"/>
    <cellStyle name="Total 2 4 14" xfId="3001" xr:uid="{00000000-0005-0000-0000-0000F4000000}"/>
    <cellStyle name="Total 2 4 15" xfId="3344" xr:uid="{00000000-0005-0000-0000-0000F4000000}"/>
    <cellStyle name="Total 2 4 16" xfId="3469" xr:uid="{00000000-0005-0000-0000-0000F4000000}"/>
    <cellStyle name="Total 2 4 17" xfId="3697" xr:uid="{00000000-0005-0000-0000-0000F4000000}"/>
    <cellStyle name="Total 2 4 18" xfId="4074" xr:uid="{00000000-0005-0000-0000-0000F4000000}"/>
    <cellStyle name="Total 2 4 19" xfId="4193" xr:uid="{00000000-0005-0000-0000-0000F4000000}"/>
    <cellStyle name="Total 2 4 2" xfId="202" xr:uid="{00000000-0005-0000-0000-0000F5000000}"/>
    <cellStyle name="Total 2 4 2 10" xfId="2384" xr:uid="{00000000-0005-0000-0000-0000F5000000}"/>
    <cellStyle name="Total 2 4 2 11" xfId="2622" xr:uid="{00000000-0005-0000-0000-0000F5000000}"/>
    <cellStyle name="Total 2 4 2 12" xfId="2687" xr:uid="{00000000-0005-0000-0000-0000F5000000}"/>
    <cellStyle name="Total 2 4 2 13" xfId="3122" xr:uid="{00000000-0005-0000-0000-0000F5000000}"/>
    <cellStyle name="Total 2 4 2 14" xfId="2841" xr:uid="{00000000-0005-0000-0000-0000F5000000}"/>
    <cellStyle name="Total 2 4 2 15" xfId="3590" xr:uid="{00000000-0005-0000-0000-0000F5000000}"/>
    <cellStyle name="Total 2 4 2 16" xfId="3821" xr:uid="{00000000-0005-0000-0000-0000F5000000}"/>
    <cellStyle name="Total 2 4 2 17" xfId="3992" xr:uid="{00000000-0005-0000-0000-0000F5000000}"/>
    <cellStyle name="Total 2 4 2 18" xfId="4314" xr:uid="{00000000-0005-0000-0000-0000F5000000}"/>
    <cellStyle name="Total 2 4 2 19" xfId="4538" xr:uid="{00000000-0005-0000-0000-0000F5000000}"/>
    <cellStyle name="Total 2 4 2 2" xfId="482" xr:uid="{00000000-0005-0000-0000-0000F5000000}"/>
    <cellStyle name="Total 2 4 2 20" xfId="4763" xr:uid="{00000000-0005-0000-0000-0000F5000000}"/>
    <cellStyle name="Total 2 4 2 3" xfId="287" xr:uid="{00000000-0005-0000-0000-0000F5000000}"/>
    <cellStyle name="Total 2 4 2 4" xfId="644" xr:uid="{00000000-0005-0000-0000-0000F5000000}"/>
    <cellStyle name="Total 2 4 2 5" xfId="1174" xr:uid="{00000000-0005-0000-0000-0000F5000000}"/>
    <cellStyle name="Total 2 4 2 6" xfId="1411" xr:uid="{00000000-0005-0000-0000-0000F5000000}"/>
    <cellStyle name="Total 2 4 2 7" xfId="1647" xr:uid="{00000000-0005-0000-0000-0000F5000000}"/>
    <cellStyle name="Total 2 4 2 8" xfId="1883" xr:uid="{00000000-0005-0000-0000-0000F5000000}"/>
    <cellStyle name="Total 2 4 2 9" xfId="2163" xr:uid="{00000000-0005-0000-0000-0000F5000000}"/>
    <cellStyle name="Total 2 4 20" xfId="4439" xr:uid="{00000000-0005-0000-0000-0000F4000000}"/>
    <cellStyle name="Total 2 4 21" xfId="4643" xr:uid="{00000000-0005-0000-0000-0000F4000000}"/>
    <cellStyle name="Total 2 4 3" xfId="361" xr:uid="{00000000-0005-0000-0000-0000F4000000}"/>
    <cellStyle name="Total 2 4 4" xfId="589" xr:uid="{00000000-0005-0000-0000-0000F4000000}"/>
    <cellStyle name="Total 2 4 5" xfId="937" xr:uid="{00000000-0005-0000-0000-0000F4000000}"/>
    <cellStyle name="Total 2 4 6" xfId="1054" xr:uid="{00000000-0005-0000-0000-0000F4000000}"/>
    <cellStyle name="Total 2 4 7" xfId="1291" xr:uid="{00000000-0005-0000-0000-0000F4000000}"/>
    <cellStyle name="Total 2 4 8" xfId="1527" xr:uid="{00000000-0005-0000-0000-0000F4000000}"/>
    <cellStyle name="Total 2 4 9" xfId="1763" xr:uid="{00000000-0005-0000-0000-0000F4000000}"/>
    <cellStyle name="Total 2 5" xfId="87" xr:uid="{00000000-0005-0000-0000-0000F6000000}"/>
    <cellStyle name="Total 2 5 10" xfId="2048" xr:uid="{00000000-0005-0000-0000-0000F6000000}"/>
    <cellStyle name="Total 2 5 11" xfId="2250" xr:uid="{00000000-0005-0000-0000-0000F6000000}"/>
    <cellStyle name="Total 2 5 12" xfId="2490" xr:uid="{00000000-0005-0000-0000-0000F6000000}"/>
    <cellStyle name="Total 2 5 13" xfId="2866" xr:uid="{00000000-0005-0000-0000-0000F6000000}"/>
    <cellStyle name="Total 2 5 14" xfId="3007" xr:uid="{00000000-0005-0000-0000-0000F6000000}"/>
    <cellStyle name="Total 2 5 15" xfId="3342" xr:uid="{00000000-0005-0000-0000-0000F6000000}"/>
    <cellStyle name="Total 2 5 16" xfId="3475" xr:uid="{00000000-0005-0000-0000-0000F6000000}"/>
    <cellStyle name="Total 2 5 17" xfId="3690" xr:uid="{00000000-0005-0000-0000-0000F6000000}"/>
    <cellStyle name="Total 2 5 18" xfId="4064" xr:uid="{00000000-0005-0000-0000-0000F6000000}"/>
    <cellStyle name="Total 2 5 19" xfId="4199" xr:uid="{00000000-0005-0000-0000-0000F6000000}"/>
    <cellStyle name="Total 2 5 2" xfId="208" xr:uid="{00000000-0005-0000-0000-0000F7000000}"/>
    <cellStyle name="Total 2 5 2 10" xfId="1972" xr:uid="{00000000-0005-0000-0000-0000F7000000}"/>
    <cellStyle name="Total 2 5 2 11" xfId="2244" xr:uid="{00000000-0005-0000-0000-0000F7000000}"/>
    <cellStyle name="Total 2 5 2 12" xfId="2931" xr:uid="{00000000-0005-0000-0000-0000F7000000}"/>
    <cellStyle name="Total 2 5 2 13" xfId="3128" xr:uid="{00000000-0005-0000-0000-0000F7000000}"/>
    <cellStyle name="Total 2 5 2 14" xfId="3405" xr:uid="{00000000-0005-0000-0000-0000F7000000}"/>
    <cellStyle name="Total 2 5 2 15" xfId="3596" xr:uid="{00000000-0005-0000-0000-0000F7000000}"/>
    <cellStyle name="Total 2 5 2 16" xfId="3672" xr:uid="{00000000-0005-0000-0000-0000F7000000}"/>
    <cellStyle name="Total 2 5 2 17" xfId="4085" xr:uid="{00000000-0005-0000-0000-0000F7000000}"/>
    <cellStyle name="Total 2 5 2 18" xfId="4320" xr:uid="{00000000-0005-0000-0000-0000F7000000}"/>
    <cellStyle name="Total 2 5 2 19" xfId="4503" xr:uid="{00000000-0005-0000-0000-0000F7000000}"/>
    <cellStyle name="Total 2 5 2 2" xfId="488" xr:uid="{00000000-0005-0000-0000-0000F7000000}"/>
    <cellStyle name="Total 2 5 2 20" xfId="4769" xr:uid="{00000000-0005-0000-0000-0000F7000000}"/>
    <cellStyle name="Total 2 5 2 3" xfId="648" xr:uid="{00000000-0005-0000-0000-0000F7000000}"/>
    <cellStyle name="Total 2 5 2 4" xfId="994" xr:uid="{00000000-0005-0000-0000-0000F7000000}"/>
    <cellStyle name="Total 2 5 2 5" xfId="1180" xr:uid="{00000000-0005-0000-0000-0000F7000000}"/>
    <cellStyle name="Total 2 5 2 6" xfId="1417" xr:uid="{00000000-0005-0000-0000-0000F7000000}"/>
    <cellStyle name="Total 2 5 2 7" xfId="1653" xr:uid="{00000000-0005-0000-0000-0000F7000000}"/>
    <cellStyle name="Total 2 5 2 8" xfId="1889" xr:uid="{00000000-0005-0000-0000-0000F7000000}"/>
    <cellStyle name="Total 2 5 2 9" xfId="2169" xr:uid="{00000000-0005-0000-0000-0000F7000000}"/>
    <cellStyle name="Total 2 5 20" xfId="4405" xr:uid="{00000000-0005-0000-0000-0000F6000000}"/>
    <cellStyle name="Total 2 5 21" xfId="4649" xr:uid="{00000000-0005-0000-0000-0000F6000000}"/>
    <cellStyle name="Total 2 5 3" xfId="367" xr:uid="{00000000-0005-0000-0000-0000F6000000}"/>
    <cellStyle name="Total 2 5 4" xfId="578" xr:uid="{00000000-0005-0000-0000-0000F6000000}"/>
    <cellStyle name="Total 2 5 5" xfId="935" xr:uid="{00000000-0005-0000-0000-0000F6000000}"/>
    <cellStyle name="Total 2 5 6" xfId="1060" xr:uid="{00000000-0005-0000-0000-0000F6000000}"/>
    <cellStyle name="Total 2 5 7" xfId="1297" xr:uid="{00000000-0005-0000-0000-0000F6000000}"/>
    <cellStyle name="Total 2 5 8" xfId="1533" xr:uid="{00000000-0005-0000-0000-0000F6000000}"/>
    <cellStyle name="Total 2 5 9" xfId="1769" xr:uid="{00000000-0005-0000-0000-0000F6000000}"/>
    <cellStyle name="Total 2 6" xfId="93" xr:uid="{00000000-0005-0000-0000-0000F8000000}"/>
    <cellStyle name="Total 2 6 10" xfId="2054" xr:uid="{00000000-0005-0000-0000-0000F8000000}"/>
    <cellStyle name="Total 2 6 11" xfId="2427" xr:uid="{00000000-0005-0000-0000-0000F8000000}"/>
    <cellStyle name="Total 2 6 12" xfId="2665" xr:uid="{00000000-0005-0000-0000-0000F8000000}"/>
    <cellStyle name="Total 2 6 13" xfId="2803" xr:uid="{00000000-0005-0000-0000-0000F8000000}"/>
    <cellStyle name="Total 2 6 14" xfId="3013" xr:uid="{00000000-0005-0000-0000-0000F8000000}"/>
    <cellStyle name="Total 2 6 15" xfId="3281" xr:uid="{00000000-0005-0000-0000-0000F8000000}"/>
    <cellStyle name="Total 2 6 16" xfId="3481" xr:uid="{00000000-0005-0000-0000-0000F8000000}"/>
    <cellStyle name="Total 2 6 17" xfId="3864" xr:uid="{00000000-0005-0000-0000-0000F8000000}"/>
    <cellStyle name="Total 2 6 18" xfId="4121" xr:uid="{00000000-0005-0000-0000-0000F8000000}"/>
    <cellStyle name="Total 2 6 19" xfId="4205" xr:uid="{00000000-0005-0000-0000-0000F8000000}"/>
    <cellStyle name="Total 2 6 2" xfId="214" xr:uid="{00000000-0005-0000-0000-0000F9000000}"/>
    <cellStyle name="Total 2 6 2 10" xfId="2295" xr:uid="{00000000-0005-0000-0000-0000F9000000}"/>
    <cellStyle name="Total 2 6 2 11" xfId="2535" xr:uid="{00000000-0005-0000-0000-0000F9000000}"/>
    <cellStyle name="Total 2 6 2 12" xfId="2890" xr:uid="{00000000-0005-0000-0000-0000F9000000}"/>
    <cellStyle name="Total 2 6 2 13" xfId="3134" xr:uid="{00000000-0005-0000-0000-0000F9000000}"/>
    <cellStyle name="Total 2 6 2 14" xfId="3366" xr:uid="{00000000-0005-0000-0000-0000F9000000}"/>
    <cellStyle name="Total 2 6 2 15" xfId="3602" xr:uid="{00000000-0005-0000-0000-0000F9000000}"/>
    <cellStyle name="Total 2 6 2 16" xfId="3734" xr:uid="{00000000-0005-0000-0000-0000F9000000}"/>
    <cellStyle name="Total 2 6 2 17" xfId="4069" xr:uid="{00000000-0005-0000-0000-0000F9000000}"/>
    <cellStyle name="Total 2 6 2 18" xfId="4326" xr:uid="{00000000-0005-0000-0000-0000F9000000}"/>
    <cellStyle name="Total 2 6 2 19" xfId="4465" xr:uid="{00000000-0005-0000-0000-0000F9000000}"/>
    <cellStyle name="Total 2 6 2 2" xfId="494" xr:uid="{00000000-0005-0000-0000-0000F9000000}"/>
    <cellStyle name="Total 2 6 2 20" xfId="4775" xr:uid="{00000000-0005-0000-0000-0000F9000000}"/>
    <cellStyle name="Total 2 6 2 3" xfId="608" xr:uid="{00000000-0005-0000-0000-0000F9000000}"/>
    <cellStyle name="Total 2 6 2 4" xfId="956" xr:uid="{00000000-0005-0000-0000-0000F9000000}"/>
    <cellStyle name="Total 2 6 2 5" xfId="1186" xr:uid="{00000000-0005-0000-0000-0000F9000000}"/>
    <cellStyle name="Total 2 6 2 6" xfId="1423" xr:uid="{00000000-0005-0000-0000-0000F9000000}"/>
    <cellStyle name="Total 2 6 2 7" xfId="1659" xr:uid="{00000000-0005-0000-0000-0000F9000000}"/>
    <cellStyle name="Total 2 6 2 8" xfId="1895" xr:uid="{00000000-0005-0000-0000-0000F9000000}"/>
    <cellStyle name="Total 2 6 2 9" xfId="2175" xr:uid="{00000000-0005-0000-0000-0000F9000000}"/>
    <cellStyle name="Total 2 6 20" xfId="4551" xr:uid="{00000000-0005-0000-0000-0000F8000000}"/>
    <cellStyle name="Total 2 6 21" xfId="4655" xr:uid="{00000000-0005-0000-0000-0000F8000000}"/>
    <cellStyle name="Total 2 6 3" xfId="373" xr:uid="{00000000-0005-0000-0000-0000F8000000}"/>
    <cellStyle name="Total 2 6 4" xfId="742" xr:uid="{00000000-0005-0000-0000-0000F8000000}"/>
    <cellStyle name="Total 2 6 5" xfId="879" xr:uid="{00000000-0005-0000-0000-0000F8000000}"/>
    <cellStyle name="Total 2 6 6" xfId="1066" xr:uid="{00000000-0005-0000-0000-0000F8000000}"/>
    <cellStyle name="Total 2 6 7" xfId="1303" xr:uid="{00000000-0005-0000-0000-0000F8000000}"/>
    <cellStyle name="Total 2 6 8" xfId="1539" xr:uid="{00000000-0005-0000-0000-0000F8000000}"/>
    <cellStyle name="Total 2 6 9" xfId="1775" xr:uid="{00000000-0005-0000-0000-0000F8000000}"/>
    <cellStyle name="Total 2 7" xfId="118" xr:uid="{00000000-0005-0000-0000-0000FA000000}"/>
    <cellStyle name="Total 2 7 10" xfId="2079" xr:uid="{00000000-0005-0000-0000-0000FA000000}"/>
    <cellStyle name="Total 2 7 11" xfId="1995" xr:uid="{00000000-0005-0000-0000-0000FA000000}"/>
    <cellStyle name="Total 2 7 12" xfId="2390" xr:uid="{00000000-0005-0000-0000-0000FA000000}"/>
    <cellStyle name="Total 2 7 13" xfId="2944" xr:uid="{00000000-0005-0000-0000-0000FA000000}"/>
    <cellStyle name="Total 2 7 14" xfId="3038" xr:uid="{00000000-0005-0000-0000-0000FA000000}"/>
    <cellStyle name="Total 2 7 15" xfId="3419" xr:uid="{00000000-0005-0000-0000-0000FA000000}"/>
    <cellStyle name="Total 2 7 16" xfId="3506" xr:uid="{00000000-0005-0000-0000-0000FA000000}"/>
    <cellStyle name="Total 2 7 17" xfId="3365" xr:uid="{00000000-0005-0000-0000-0000FA000000}"/>
    <cellStyle name="Total 2 7 18" xfId="3956" xr:uid="{00000000-0005-0000-0000-0000FA000000}"/>
    <cellStyle name="Total 2 7 19" xfId="4230" xr:uid="{00000000-0005-0000-0000-0000FA000000}"/>
    <cellStyle name="Total 2 7 2" xfId="239" xr:uid="{00000000-0005-0000-0000-0000FB000000}"/>
    <cellStyle name="Total 2 7 2 10" xfId="2422" xr:uid="{00000000-0005-0000-0000-0000FB000000}"/>
    <cellStyle name="Total 2 7 2 11" xfId="2660" xr:uid="{00000000-0005-0000-0000-0000FB000000}"/>
    <cellStyle name="Total 2 7 2 12" xfId="2756" xr:uid="{00000000-0005-0000-0000-0000FB000000}"/>
    <cellStyle name="Total 2 7 2 13" xfId="3159" xr:uid="{00000000-0005-0000-0000-0000FB000000}"/>
    <cellStyle name="Total 2 7 2 14" xfId="3236" xr:uid="{00000000-0005-0000-0000-0000FB000000}"/>
    <cellStyle name="Total 2 7 2 15" xfId="3627" xr:uid="{00000000-0005-0000-0000-0000FB000000}"/>
    <cellStyle name="Total 2 7 2 16" xfId="3859" xr:uid="{00000000-0005-0000-0000-0000FB000000}"/>
    <cellStyle name="Total 2 7 2 17" xfId="4136" xr:uid="{00000000-0005-0000-0000-0000FB000000}"/>
    <cellStyle name="Total 2 7 2 18" xfId="4351" xr:uid="{00000000-0005-0000-0000-0000FB000000}"/>
    <cellStyle name="Total 2 7 2 19" xfId="4449" xr:uid="{00000000-0005-0000-0000-0000FB000000}"/>
    <cellStyle name="Total 2 7 2 2" xfId="519" xr:uid="{00000000-0005-0000-0000-0000FB000000}"/>
    <cellStyle name="Total 2 7 2 20" xfId="4800" xr:uid="{00000000-0005-0000-0000-0000FB000000}"/>
    <cellStyle name="Total 2 7 2 3" xfId="698" xr:uid="{00000000-0005-0000-0000-0000FB000000}"/>
    <cellStyle name="Total 2 7 2 4" xfId="832" xr:uid="{00000000-0005-0000-0000-0000FB000000}"/>
    <cellStyle name="Total 2 7 2 5" xfId="1211" xr:uid="{00000000-0005-0000-0000-0000FB000000}"/>
    <cellStyle name="Total 2 7 2 6" xfId="1448" xr:uid="{00000000-0005-0000-0000-0000FB000000}"/>
    <cellStyle name="Total 2 7 2 7" xfId="1684" xr:uid="{00000000-0005-0000-0000-0000FB000000}"/>
    <cellStyle name="Total 2 7 2 8" xfId="1920" xr:uid="{00000000-0005-0000-0000-0000FB000000}"/>
    <cellStyle name="Total 2 7 2 9" xfId="2200" xr:uid="{00000000-0005-0000-0000-0000FB000000}"/>
    <cellStyle name="Total 2 7 20" xfId="4511" xr:uid="{00000000-0005-0000-0000-0000FA000000}"/>
    <cellStyle name="Total 2 7 21" xfId="4680" xr:uid="{00000000-0005-0000-0000-0000FA000000}"/>
    <cellStyle name="Total 2 7 3" xfId="398" xr:uid="{00000000-0005-0000-0000-0000FA000000}"/>
    <cellStyle name="Total 2 7 4" xfId="662" xr:uid="{00000000-0005-0000-0000-0000FA000000}"/>
    <cellStyle name="Total 2 7 5" xfId="1006" xr:uid="{00000000-0005-0000-0000-0000FA000000}"/>
    <cellStyle name="Total 2 7 6" xfId="1091" xr:uid="{00000000-0005-0000-0000-0000FA000000}"/>
    <cellStyle name="Total 2 7 7" xfId="1328" xr:uid="{00000000-0005-0000-0000-0000FA000000}"/>
    <cellStyle name="Total 2 7 8" xfId="1564" xr:uid="{00000000-0005-0000-0000-0000FA000000}"/>
    <cellStyle name="Total 2 7 9" xfId="1800" xr:uid="{00000000-0005-0000-0000-0000FA000000}"/>
    <cellStyle name="Total 2 8" xfId="126" xr:uid="{00000000-0005-0000-0000-0000FC000000}"/>
    <cellStyle name="Total 2 8 10" xfId="2087" xr:uid="{00000000-0005-0000-0000-0000FC000000}"/>
    <cellStyle name="Total 2 8 11" xfId="2417" xr:uid="{00000000-0005-0000-0000-0000FC000000}"/>
    <cellStyle name="Total 2 8 12" xfId="2655" xr:uid="{00000000-0005-0000-0000-0000FC000000}"/>
    <cellStyle name="Total 2 8 13" xfId="2783" xr:uid="{00000000-0005-0000-0000-0000FC000000}"/>
    <cellStyle name="Total 2 8 14" xfId="3046" xr:uid="{00000000-0005-0000-0000-0000FC000000}"/>
    <cellStyle name="Total 2 8 15" xfId="3262" xr:uid="{00000000-0005-0000-0000-0000FC000000}"/>
    <cellStyle name="Total 2 8 16" xfId="3514" xr:uid="{00000000-0005-0000-0000-0000FC000000}"/>
    <cellStyle name="Total 2 8 17" xfId="3854" xr:uid="{00000000-0005-0000-0000-0000FC000000}"/>
    <cellStyle name="Total 2 8 18" xfId="4011" xr:uid="{00000000-0005-0000-0000-0000FC000000}"/>
    <cellStyle name="Total 2 8 19" xfId="4238" xr:uid="{00000000-0005-0000-0000-0000FC000000}"/>
    <cellStyle name="Total 2 8 2" xfId="247" xr:uid="{00000000-0005-0000-0000-0000FD000000}"/>
    <cellStyle name="Total 2 8 2 10" xfId="2445" xr:uid="{00000000-0005-0000-0000-0000FD000000}"/>
    <cellStyle name="Total 2 8 2 11" xfId="2683" xr:uid="{00000000-0005-0000-0000-0000FD000000}"/>
    <cellStyle name="Total 2 8 2 12" xfId="2734" xr:uid="{00000000-0005-0000-0000-0000FD000000}"/>
    <cellStyle name="Total 2 8 2 13" xfId="3167" xr:uid="{00000000-0005-0000-0000-0000FD000000}"/>
    <cellStyle name="Total 2 8 2 14" xfId="3216" xr:uid="{00000000-0005-0000-0000-0000FD000000}"/>
    <cellStyle name="Total 2 8 2 15" xfId="3635" xr:uid="{00000000-0005-0000-0000-0000FD000000}"/>
    <cellStyle name="Total 2 8 2 16" xfId="3882" xr:uid="{00000000-0005-0000-0000-0000FD000000}"/>
    <cellStyle name="Total 2 8 2 17" xfId="4025" xr:uid="{00000000-0005-0000-0000-0000FD000000}"/>
    <cellStyle name="Total 2 8 2 18" xfId="4359" xr:uid="{00000000-0005-0000-0000-0000FD000000}"/>
    <cellStyle name="Total 2 8 2 19" xfId="4560" xr:uid="{00000000-0005-0000-0000-0000FD000000}"/>
    <cellStyle name="Total 2 8 2 2" xfId="527" xr:uid="{00000000-0005-0000-0000-0000FD000000}"/>
    <cellStyle name="Total 2 8 2 20" xfId="4808" xr:uid="{00000000-0005-0000-0000-0000FD000000}"/>
    <cellStyle name="Total 2 8 2 3" xfId="660" xr:uid="{00000000-0005-0000-0000-0000FD000000}"/>
    <cellStyle name="Total 2 8 2 4" xfId="813" xr:uid="{00000000-0005-0000-0000-0000FD000000}"/>
    <cellStyle name="Total 2 8 2 5" xfId="1219" xr:uid="{00000000-0005-0000-0000-0000FD000000}"/>
    <cellStyle name="Total 2 8 2 6" xfId="1456" xr:uid="{00000000-0005-0000-0000-0000FD000000}"/>
    <cellStyle name="Total 2 8 2 7" xfId="1692" xr:uid="{00000000-0005-0000-0000-0000FD000000}"/>
    <cellStyle name="Total 2 8 2 8" xfId="1928" xr:uid="{00000000-0005-0000-0000-0000FD000000}"/>
    <cellStyle name="Total 2 8 2 9" xfId="2208" xr:uid="{00000000-0005-0000-0000-0000FD000000}"/>
    <cellStyle name="Total 2 8 20" xfId="4432" xr:uid="{00000000-0005-0000-0000-0000FC000000}"/>
    <cellStyle name="Total 2 8 21" xfId="4688" xr:uid="{00000000-0005-0000-0000-0000FC000000}"/>
    <cellStyle name="Total 2 8 3" xfId="406" xr:uid="{00000000-0005-0000-0000-0000FC000000}"/>
    <cellStyle name="Total 2 8 4" xfId="718" xr:uid="{00000000-0005-0000-0000-0000FC000000}"/>
    <cellStyle name="Total 2 8 5" xfId="859" xr:uid="{00000000-0005-0000-0000-0000FC000000}"/>
    <cellStyle name="Total 2 8 6" xfId="1099" xr:uid="{00000000-0005-0000-0000-0000FC000000}"/>
    <cellStyle name="Total 2 8 7" xfId="1336" xr:uid="{00000000-0005-0000-0000-0000FC000000}"/>
    <cellStyle name="Total 2 8 8" xfId="1572" xr:uid="{00000000-0005-0000-0000-0000FC000000}"/>
    <cellStyle name="Total 2 8 9" xfId="1808" xr:uid="{00000000-0005-0000-0000-0000FC000000}"/>
    <cellStyle name="Total 2 9" xfId="133" xr:uid="{00000000-0005-0000-0000-0000FE000000}"/>
    <cellStyle name="Total 2 9 10" xfId="2094" xr:uid="{00000000-0005-0000-0000-0000FE000000}"/>
    <cellStyle name="Total 2 9 11" xfId="2312" xr:uid="{00000000-0005-0000-0000-0000FE000000}"/>
    <cellStyle name="Total 2 9 12" xfId="2552" xr:uid="{00000000-0005-0000-0000-0000FE000000}"/>
    <cellStyle name="Total 2 9 13" xfId="2858" xr:uid="{00000000-0005-0000-0000-0000FE000000}"/>
    <cellStyle name="Total 2 9 14" xfId="3053" xr:uid="{00000000-0005-0000-0000-0000FE000000}"/>
    <cellStyle name="Total 2 9 15" xfId="3334" xr:uid="{00000000-0005-0000-0000-0000FE000000}"/>
    <cellStyle name="Total 2 9 16" xfId="3521" xr:uid="{00000000-0005-0000-0000-0000FE000000}"/>
    <cellStyle name="Total 2 9 17" xfId="3751" xr:uid="{00000000-0005-0000-0000-0000FE000000}"/>
    <cellStyle name="Total 2 9 18" xfId="3979" xr:uid="{00000000-0005-0000-0000-0000FE000000}"/>
    <cellStyle name="Total 2 9 19" xfId="4245" xr:uid="{00000000-0005-0000-0000-0000FE000000}"/>
    <cellStyle name="Total 2 9 2" xfId="254" xr:uid="{00000000-0005-0000-0000-0000FF000000}"/>
    <cellStyle name="Total 2 9 2 10" xfId="2432" xr:uid="{00000000-0005-0000-0000-0000FF000000}"/>
    <cellStyle name="Total 2 9 2 11" xfId="2670" xr:uid="{00000000-0005-0000-0000-0000FF000000}"/>
    <cellStyle name="Total 2 9 2 12" xfId="2805" xr:uid="{00000000-0005-0000-0000-0000FF000000}"/>
    <cellStyle name="Total 2 9 2 13" xfId="3174" xr:uid="{00000000-0005-0000-0000-0000FF000000}"/>
    <cellStyle name="Total 2 9 2 14" xfId="3283" xr:uid="{00000000-0005-0000-0000-0000FF000000}"/>
    <cellStyle name="Total 2 9 2 15" xfId="3642" xr:uid="{00000000-0005-0000-0000-0000FF000000}"/>
    <cellStyle name="Total 2 9 2 16" xfId="3869" xr:uid="{00000000-0005-0000-0000-0000FF000000}"/>
    <cellStyle name="Total 2 9 2 17" xfId="4138" xr:uid="{00000000-0005-0000-0000-0000FF000000}"/>
    <cellStyle name="Total 2 9 2 18" xfId="4366" xr:uid="{00000000-0005-0000-0000-0000FF000000}"/>
    <cellStyle name="Total 2 9 2 19" xfId="4457" xr:uid="{00000000-0005-0000-0000-0000FF000000}"/>
    <cellStyle name="Total 2 9 2 2" xfId="534" xr:uid="{00000000-0005-0000-0000-0000FF000000}"/>
    <cellStyle name="Total 2 9 2 20" xfId="4815" xr:uid="{00000000-0005-0000-0000-0000FF000000}"/>
    <cellStyle name="Total 2 9 2 3" xfId="297" xr:uid="{00000000-0005-0000-0000-0000FF000000}"/>
    <cellStyle name="Total 2 9 2 4" xfId="881" xr:uid="{00000000-0005-0000-0000-0000FF000000}"/>
    <cellStyle name="Total 2 9 2 5" xfId="1226" xr:uid="{00000000-0005-0000-0000-0000FF000000}"/>
    <cellStyle name="Total 2 9 2 6" xfId="1463" xr:uid="{00000000-0005-0000-0000-0000FF000000}"/>
    <cellStyle name="Total 2 9 2 7" xfId="1699" xr:uid="{00000000-0005-0000-0000-0000FF000000}"/>
    <cellStyle name="Total 2 9 2 8" xfId="1935" xr:uid="{00000000-0005-0000-0000-0000FF000000}"/>
    <cellStyle name="Total 2 9 2 9" xfId="2215" xr:uid="{00000000-0005-0000-0000-0000FF000000}"/>
    <cellStyle name="Total 2 9 20" xfId="4488" xr:uid="{00000000-0005-0000-0000-0000FE000000}"/>
    <cellStyle name="Total 2 9 21" xfId="4695" xr:uid="{00000000-0005-0000-0000-0000FE000000}"/>
    <cellStyle name="Total 2 9 3" xfId="413" xr:uid="{00000000-0005-0000-0000-0000FE000000}"/>
    <cellStyle name="Total 2 9 4" xfId="570" xr:uid="{00000000-0005-0000-0000-0000FE000000}"/>
    <cellStyle name="Total 2 9 5" xfId="928" xr:uid="{00000000-0005-0000-0000-0000FE000000}"/>
    <cellStyle name="Total 2 9 6" xfId="1106" xr:uid="{00000000-0005-0000-0000-0000FE000000}"/>
    <cellStyle name="Total 2 9 7" xfId="1343" xr:uid="{00000000-0005-0000-0000-0000FE000000}"/>
    <cellStyle name="Total 2 9 8" xfId="1579" xr:uid="{00000000-0005-0000-0000-0000FE000000}"/>
    <cellStyle name="Total 2 9 9" xfId="1815" xr:uid="{00000000-0005-0000-0000-0000FE000000}"/>
    <cellStyle name="Total 3" xfId="48" xr:uid="{00000000-0005-0000-0000-000000010000}"/>
    <cellStyle name="Total 3 10" xfId="146" xr:uid="{00000000-0005-0000-0000-000001010000}"/>
    <cellStyle name="Total 3 10 10" xfId="2107" xr:uid="{00000000-0005-0000-0000-000001010000}"/>
    <cellStyle name="Total 3 10 11" xfId="2440" xr:uid="{00000000-0005-0000-0000-000001010000}"/>
    <cellStyle name="Total 3 10 12" xfId="2678" xr:uid="{00000000-0005-0000-0000-000001010000}"/>
    <cellStyle name="Total 3 10 13" xfId="2659" xr:uid="{00000000-0005-0000-0000-000001010000}"/>
    <cellStyle name="Total 3 10 14" xfId="3066" xr:uid="{00000000-0005-0000-0000-000001010000}"/>
    <cellStyle name="Total 3 10 15" xfId="2727" xr:uid="{00000000-0005-0000-0000-000001010000}"/>
    <cellStyle name="Total 3 10 16" xfId="3534" xr:uid="{00000000-0005-0000-0000-000001010000}"/>
    <cellStyle name="Total 3 10 17" xfId="3877" xr:uid="{00000000-0005-0000-0000-000001010000}"/>
    <cellStyle name="Total 3 10 18" xfId="4091" xr:uid="{00000000-0005-0000-0000-000001010000}"/>
    <cellStyle name="Total 3 10 19" xfId="4258" xr:uid="{00000000-0005-0000-0000-000001010000}"/>
    <cellStyle name="Total 3 10 2" xfId="267" xr:uid="{00000000-0005-0000-0000-000002010000}"/>
    <cellStyle name="Total 3 10 2 10" xfId="2389" xr:uid="{00000000-0005-0000-0000-000002010000}"/>
    <cellStyle name="Total 3 10 2 11" xfId="2627" xr:uid="{00000000-0005-0000-0000-000002010000}"/>
    <cellStyle name="Total 3 10 2 12" xfId="2578" xr:uid="{00000000-0005-0000-0000-000002010000}"/>
    <cellStyle name="Total 3 10 2 13" xfId="3187" xr:uid="{00000000-0005-0000-0000-000002010000}"/>
    <cellStyle name="Total 3 10 2 14" xfId="2920" xr:uid="{00000000-0005-0000-0000-000002010000}"/>
    <cellStyle name="Total 3 10 2 15" xfId="3655" xr:uid="{00000000-0005-0000-0000-000002010000}"/>
    <cellStyle name="Total 3 10 2 16" xfId="3826" xr:uid="{00000000-0005-0000-0000-000002010000}"/>
    <cellStyle name="Total 3 10 2 17" xfId="4030" xr:uid="{00000000-0005-0000-0000-000002010000}"/>
    <cellStyle name="Total 3 10 2 18" xfId="4379" xr:uid="{00000000-0005-0000-0000-000002010000}"/>
    <cellStyle name="Total 3 10 2 19" xfId="4529" xr:uid="{00000000-0005-0000-0000-000002010000}"/>
    <cellStyle name="Total 3 10 2 2" xfId="547" xr:uid="{00000000-0005-0000-0000-000002010000}"/>
    <cellStyle name="Total 3 10 2 20" xfId="4828" xr:uid="{00000000-0005-0000-0000-000002010000}"/>
    <cellStyle name="Total 3 10 2 3" xfId="314" xr:uid="{00000000-0005-0000-0000-000002010000}"/>
    <cellStyle name="Total 3 10 2 4" xfId="778" xr:uid="{00000000-0005-0000-0000-000002010000}"/>
    <cellStyle name="Total 3 10 2 5" xfId="1239" xr:uid="{00000000-0005-0000-0000-000002010000}"/>
    <cellStyle name="Total 3 10 2 6" xfId="1476" xr:uid="{00000000-0005-0000-0000-000002010000}"/>
    <cellStyle name="Total 3 10 2 7" xfId="1712" xr:uid="{00000000-0005-0000-0000-000002010000}"/>
    <cellStyle name="Total 3 10 2 8" xfId="1948" xr:uid="{00000000-0005-0000-0000-000002010000}"/>
    <cellStyle name="Total 3 10 2 9" xfId="2228" xr:uid="{00000000-0005-0000-0000-000002010000}"/>
    <cellStyle name="Total 3 10 20" xfId="4589" xr:uid="{00000000-0005-0000-0000-000001010000}"/>
    <cellStyle name="Total 3 10 21" xfId="4708" xr:uid="{00000000-0005-0000-0000-000001010000}"/>
    <cellStyle name="Total 3 10 3" xfId="426" xr:uid="{00000000-0005-0000-0000-000001010000}"/>
    <cellStyle name="Total 3 10 4" xfId="306" xr:uid="{00000000-0005-0000-0000-000001010000}"/>
    <cellStyle name="Total 3 10 5" xfId="587" xr:uid="{00000000-0005-0000-0000-000001010000}"/>
    <cellStyle name="Total 3 10 6" xfId="1119" xr:uid="{00000000-0005-0000-0000-000001010000}"/>
    <cellStyle name="Total 3 10 7" xfId="1356" xr:uid="{00000000-0005-0000-0000-000001010000}"/>
    <cellStyle name="Total 3 10 8" xfId="1592" xr:uid="{00000000-0005-0000-0000-000001010000}"/>
    <cellStyle name="Total 3 10 9" xfId="1828" xr:uid="{00000000-0005-0000-0000-000001010000}"/>
    <cellStyle name="Total 3 11" xfId="152" xr:uid="{00000000-0005-0000-0000-000003010000}"/>
    <cellStyle name="Total 3 11 10" xfId="2113" xr:uid="{00000000-0005-0000-0000-000003010000}"/>
    <cellStyle name="Total 3 11 11" xfId="1979" xr:uid="{00000000-0005-0000-0000-000003010000}"/>
    <cellStyle name="Total 3 11 12" xfId="1994" xr:uid="{00000000-0005-0000-0000-000003010000}"/>
    <cellStyle name="Total 3 11 13" xfId="2933" xr:uid="{00000000-0005-0000-0000-000003010000}"/>
    <cellStyle name="Total 3 11 14" xfId="3072" xr:uid="{00000000-0005-0000-0000-000003010000}"/>
    <cellStyle name="Total 3 11 15" xfId="3407" xr:uid="{00000000-0005-0000-0000-000003010000}"/>
    <cellStyle name="Total 3 11 16" xfId="3540" xr:uid="{00000000-0005-0000-0000-000003010000}"/>
    <cellStyle name="Total 3 11 17" xfId="3409" xr:uid="{00000000-0005-0000-0000-000003010000}"/>
    <cellStyle name="Total 3 11 18" xfId="3920" xr:uid="{00000000-0005-0000-0000-000003010000}"/>
    <cellStyle name="Total 3 11 19" xfId="4264" xr:uid="{00000000-0005-0000-0000-000003010000}"/>
    <cellStyle name="Total 3 11 2" xfId="273" xr:uid="{00000000-0005-0000-0000-000004010000}"/>
    <cellStyle name="Total 3 11 2 10" xfId="2414" xr:uid="{00000000-0005-0000-0000-000004010000}"/>
    <cellStyle name="Total 3 11 2 11" xfId="2652" xr:uid="{00000000-0005-0000-0000-000004010000}"/>
    <cellStyle name="Total 3 11 2 12" xfId="2526" xr:uid="{00000000-0005-0000-0000-000004010000}"/>
    <cellStyle name="Total 3 11 2 13" xfId="3193" xr:uid="{00000000-0005-0000-0000-000004010000}"/>
    <cellStyle name="Total 3 11 2 14" xfId="2959" xr:uid="{00000000-0005-0000-0000-000004010000}"/>
    <cellStyle name="Total 3 11 2 15" xfId="3661" xr:uid="{00000000-0005-0000-0000-000004010000}"/>
    <cellStyle name="Total 3 11 2 16" xfId="3851" xr:uid="{00000000-0005-0000-0000-000004010000}"/>
    <cellStyle name="Total 3 11 2 17" xfId="4134" xr:uid="{00000000-0005-0000-0000-000004010000}"/>
    <cellStyle name="Total 3 11 2 18" xfId="4385" xr:uid="{00000000-0005-0000-0000-000004010000}"/>
    <cellStyle name="Total 3 11 2 19" xfId="4418" xr:uid="{00000000-0005-0000-0000-000004010000}"/>
    <cellStyle name="Total 3 11 2 2" xfId="553" xr:uid="{00000000-0005-0000-0000-000004010000}"/>
    <cellStyle name="Total 3 11 2 20" xfId="4834" xr:uid="{00000000-0005-0000-0000-000004010000}"/>
    <cellStyle name="Total 3 11 2 3" xfId="312" xr:uid="{00000000-0005-0000-0000-000004010000}"/>
    <cellStyle name="Total 3 11 2 4" xfId="672" xr:uid="{00000000-0005-0000-0000-000004010000}"/>
    <cellStyle name="Total 3 11 2 5" xfId="1245" xr:uid="{00000000-0005-0000-0000-000004010000}"/>
    <cellStyle name="Total 3 11 2 6" xfId="1482" xr:uid="{00000000-0005-0000-0000-000004010000}"/>
    <cellStyle name="Total 3 11 2 7" xfId="1718" xr:uid="{00000000-0005-0000-0000-000004010000}"/>
    <cellStyle name="Total 3 11 2 8" xfId="1954" xr:uid="{00000000-0005-0000-0000-000004010000}"/>
    <cellStyle name="Total 3 11 2 9" xfId="2234" xr:uid="{00000000-0005-0000-0000-000004010000}"/>
    <cellStyle name="Total 3 11 20" xfId="4553" xr:uid="{00000000-0005-0000-0000-000003010000}"/>
    <cellStyle name="Total 3 11 21" xfId="4714" xr:uid="{00000000-0005-0000-0000-000003010000}"/>
    <cellStyle name="Total 3 11 3" xfId="432" xr:uid="{00000000-0005-0000-0000-000003010000}"/>
    <cellStyle name="Total 3 11 4" xfId="650" xr:uid="{00000000-0005-0000-0000-000003010000}"/>
    <cellStyle name="Total 3 11 5" xfId="996" xr:uid="{00000000-0005-0000-0000-000003010000}"/>
    <cellStyle name="Total 3 11 6" xfId="1125" xr:uid="{00000000-0005-0000-0000-000003010000}"/>
    <cellStyle name="Total 3 11 7" xfId="1362" xr:uid="{00000000-0005-0000-0000-000003010000}"/>
    <cellStyle name="Total 3 11 8" xfId="1598" xr:uid="{00000000-0005-0000-0000-000003010000}"/>
    <cellStyle name="Total 3 11 9" xfId="1834" xr:uid="{00000000-0005-0000-0000-000003010000}"/>
    <cellStyle name="Total 3 12" xfId="158" xr:uid="{00000000-0005-0000-0000-000005010000}"/>
    <cellStyle name="Total 3 12 10" xfId="2119" xr:uid="{00000000-0005-0000-0000-000005010000}"/>
    <cellStyle name="Total 3 12 11" xfId="2289" xr:uid="{00000000-0005-0000-0000-000005010000}"/>
    <cellStyle name="Total 3 12 12" xfId="2529" xr:uid="{00000000-0005-0000-0000-000005010000}"/>
    <cellStyle name="Total 3 12 13" xfId="2892" xr:uid="{00000000-0005-0000-0000-000005010000}"/>
    <cellStyle name="Total 3 12 14" xfId="3078" xr:uid="{00000000-0005-0000-0000-000005010000}"/>
    <cellStyle name="Total 3 12 15" xfId="3368" xr:uid="{00000000-0005-0000-0000-000005010000}"/>
    <cellStyle name="Total 3 12 16" xfId="3546" xr:uid="{00000000-0005-0000-0000-000005010000}"/>
    <cellStyle name="Total 3 12 17" xfId="3728" xr:uid="{00000000-0005-0000-0000-000005010000}"/>
    <cellStyle name="Total 3 12 18" xfId="4148" xr:uid="{00000000-0005-0000-0000-000005010000}"/>
    <cellStyle name="Total 3 12 19" xfId="4270" xr:uid="{00000000-0005-0000-0000-000005010000}"/>
    <cellStyle name="Total 3 12 2" xfId="279" xr:uid="{00000000-0005-0000-0000-000006010000}"/>
    <cellStyle name="Total 3 12 2 10" xfId="2454" xr:uid="{00000000-0005-0000-0000-000006010000}"/>
    <cellStyle name="Total 3 12 2 11" xfId="2692" xr:uid="{00000000-0005-0000-0000-000006010000}"/>
    <cellStyle name="Total 3 12 2 12" xfId="2695" xr:uid="{00000000-0005-0000-0000-000006010000}"/>
    <cellStyle name="Total 3 12 2 13" xfId="3199" xr:uid="{00000000-0005-0000-0000-000006010000}"/>
    <cellStyle name="Total 3 12 2 14" xfId="2804" xr:uid="{00000000-0005-0000-0000-000006010000}"/>
    <cellStyle name="Total 3 12 2 15" xfId="3667" xr:uid="{00000000-0005-0000-0000-000006010000}"/>
    <cellStyle name="Total 3 12 2 16" xfId="3891" xr:uid="{00000000-0005-0000-0000-000006010000}"/>
    <cellStyle name="Total 3 12 2 17" xfId="4034" xr:uid="{00000000-0005-0000-0000-000006010000}"/>
    <cellStyle name="Total 3 12 2 18" xfId="4391" xr:uid="{00000000-0005-0000-0000-000006010000}"/>
    <cellStyle name="Total 3 12 2 19" xfId="4604" xr:uid="{00000000-0005-0000-0000-000006010000}"/>
    <cellStyle name="Total 3 12 2 2" xfId="559" xr:uid="{00000000-0005-0000-0000-000006010000}"/>
    <cellStyle name="Total 3 12 2 20" xfId="4840" xr:uid="{00000000-0005-0000-0000-000006010000}"/>
    <cellStyle name="Total 3 12 2 3" xfId="799" xr:uid="{00000000-0005-0000-0000-000006010000}"/>
    <cellStyle name="Total 3 12 2 4" xfId="601" xr:uid="{00000000-0005-0000-0000-000006010000}"/>
    <cellStyle name="Total 3 12 2 5" xfId="1251" xr:uid="{00000000-0005-0000-0000-000006010000}"/>
    <cellStyle name="Total 3 12 2 6" xfId="1488" xr:uid="{00000000-0005-0000-0000-000006010000}"/>
    <cellStyle name="Total 3 12 2 7" xfId="1724" xr:uid="{00000000-0005-0000-0000-000006010000}"/>
    <cellStyle name="Total 3 12 2 8" xfId="1960" xr:uid="{00000000-0005-0000-0000-000006010000}"/>
    <cellStyle name="Total 3 12 2 9" xfId="2240" xr:uid="{00000000-0005-0000-0000-000006010000}"/>
    <cellStyle name="Total 3 12 20" xfId="4417" xr:uid="{00000000-0005-0000-0000-000005010000}"/>
    <cellStyle name="Total 3 12 21" xfId="4720" xr:uid="{00000000-0005-0000-0000-000005010000}"/>
    <cellStyle name="Total 3 12 3" xfId="438" xr:uid="{00000000-0005-0000-0000-000005010000}"/>
    <cellStyle name="Total 3 12 4" xfId="610" xr:uid="{00000000-0005-0000-0000-000005010000}"/>
    <cellStyle name="Total 3 12 5" xfId="958" xr:uid="{00000000-0005-0000-0000-000005010000}"/>
    <cellStyle name="Total 3 12 6" xfId="1131" xr:uid="{00000000-0005-0000-0000-000005010000}"/>
    <cellStyle name="Total 3 12 7" xfId="1368" xr:uid="{00000000-0005-0000-0000-000005010000}"/>
    <cellStyle name="Total 3 12 8" xfId="1604" xr:uid="{00000000-0005-0000-0000-000005010000}"/>
    <cellStyle name="Total 3 12 9" xfId="1840" xr:uid="{00000000-0005-0000-0000-000005010000}"/>
    <cellStyle name="Total 3 13" xfId="169" xr:uid="{00000000-0005-0000-0000-000007010000}"/>
    <cellStyle name="Total 3 13 10" xfId="1961" xr:uid="{00000000-0005-0000-0000-000007010000}"/>
    <cellStyle name="Total 3 13 11" xfId="2334" xr:uid="{00000000-0005-0000-0000-000007010000}"/>
    <cellStyle name="Total 3 13 12" xfId="2951" xr:uid="{00000000-0005-0000-0000-000007010000}"/>
    <cellStyle name="Total 3 13 13" xfId="3089" xr:uid="{00000000-0005-0000-0000-000007010000}"/>
    <cellStyle name="Total 3 13 14" xfId="3426" xr:uid="{00000000-0005-0000-0000-000007010000}"/>
    <cellStyle name="Total 3 13 15" xfId="3557" xr:uid="{00000000-0005-0000-0000-000007010000}"/>
    <cellStyle name="Total 3 13 16" xfId="3311" xr:uid="{00000000-0005-0000-0000-000007010000}"/>
    <cellStyle name="Total 3 13 17" xfId="3929" xr:uid="{00000000-0005-0000-0000-000007010000}"/>
    <cellStyle name="Total 3 13 18" xfId="4281" xr:uid="{00000000-0005-0000-0000-000007010000}"/>
    <cellStyle name="Total 3 13 19" xfId="4452" xr:uid="{00000000-0005-0000-0000-000007010000}"/>
    <cellStyle name="Total 3 13 2" xfId="449" xr:uid="{00000000-0005-0000-0000-000007010000}"/>
    <cellStyle name="Total 3 13 20" xfId="4730" xr:uid="{00000000-0005-0000-0000-000007010000}"/>
    <cellStyle name="Total 3 13 3" xfId="669" xr:uid="{00000000-0005-0000-0000-000007010000}"/>
    <cellStyle name="Total 3 13 4" xfId="1012" xr:uid="{00000000-0005-0000-0000-000007010000}"/>
    <cellStyle name="Total 3 13 5" xfId="1141" xr:uid="{00000000-0005-0000-0000-000007010000}"/>
    <cellStyle name="Total 3 13 6" xfId="1378" xr:uid="{00000000-0005-0000-0000-000007010000}"/>
    <cellStyle name="Total 3 13 7" xfId="1614" xr:uid="{00000000-0005-0000-0000-000007010000}"/>
    <cellStyle name="Total 3 13 8" xfId="1850" xr:uid="{00000000-0005-0000-0000-000007010000}"/>
    <cellStyle name="Total 3 13 9" xfId="2130" xr:uid="{00000000-0005-0000-0000-000007010000}"/>
    <cellStyle name="Total 3 14" xfId="328" xr:uid="{00000000-0005-0000-0000-000000010000}"/>
    <cellStyle name="Total 3 15" xfId="777" xr:uid="{00000000-0005-0000-0000-000000010000}"/>
    <cellStyle name="Total 3 16" xfId="801" xr:uid="{00000000-0005-0000-0000-000000010000}"/>
    <cellStyle name="Total 3 17" xfId="1021" xr:uid="{00000000-0005-0000-0000-000000010000}"/>
    <cellStyle name="Total 3 18" xfId="1258" xr:uid="{00000000-0005-0000-0000-000000010000}"/>
    <cellStyle name="Total 3 19" xfId="1494" xr:uid="{00000000-0005-0000-0000-000000010000}"/>
    <cellStyle name="Total 3 2" xfId="67" xr:uid="{00000000-0005-0000-0000-000008010000}"/>
    <cellStyle name="Total 3 2 10" xfId="2028" xr:uid="{00000000-0005-0000-0000-000008010000}"/>
    <cellStyle name="Total 3 2 11" xfId="2368" xr:uid="{00000000-0005-0000-0000-000008010000}"/>
    <cellStyle name="Total 3 2 12" xfId="2607" xr:uid="{00000000-0005-0000-0000-000008010000}"/>
    <cellStyle name="Total 3 2 13" xfId="2845" xr:uid="{00000000-0005-0000-0000-000008010000}"/>
    <cellStyle name="Total 3 2 14" xfId="2987" xr:uid="{00000000-0005-0000-0000-000008010000}"/>
    <cellStyle name="Total 3 2 15" xfId="3321" xr:uid="{00000000-0005-0000-0000-000008010000}"/>
    <cellStyle name="Total 3 2 16" xfId="3455" xr:uid="{00000000-0005-0000-0000-000008010000}"/>
    <cellStyle name="Total 3 2 17" xfId="3805" xr:uid="{00000000-0005-0000-0000-000008010000}"/>
    <cellStyle name="Total 3 2 18" xfId="4059" xr:uid="{00000000-0005-0000-0000-000008010000}"/>
    <cellStyle name="Total 3 2 19" xfId="4179" xr:uid="{00000000-0005-0000-0000-000008010000}"/>
    <cellStyle name="Total 3 2 2" xfId="188" xr:uid="{00000000-0005-0000-0000-000009010000}"/>
    <cellStyle name="Total 3 2 2 10" xfId="2357" xr:uid="{00000000-0005-0000-0000-000009010000}"/>
    <cellStyle name="Total 3 2 2 11" xfId="2596" xr:uid="{00000000-0005-0000-0000-000009010000}"/>
    <cellStyle name="Total 3 2 2 12" xfId="2847" xr:uid="{00000000-0005-0000-0000-000009010000}"/>
    <cellStyle name="Total 3 2 2 13" xfId="3108" xr:uid="{00000000-0005-0000-0000-000009010000}"/>
    <cellStyle name="Total 3 2 2 14" xfId="3323" xr:uid="{00000000-0005-0000-0000-000009010000}"/>
    <cellStyle name="Total 3 2 2 15" xfId="3576" xr:uid="{00000000-0005-0000-0000-000009010000}"/>
    <cellStyle name="Total 3 2 2 16" xfId="3794" xr:uid="{00000000-0005-0000-0000-000009010000}"/>
    <cellStyle name="Total 3 2 2 17" xfId="3937" xr:uid="{00000000-0005-0000-0000-000009010000}"/>
    <cellStyle name="Total 3 2 2 18" xfId="4300" xr:uid="{00000000-0005-0000-0000-000009010000}"/>
    <cellStyle name="Total 3 2 2 19" xfId="4571" xr:uid="{00000000-0005-0000-0000-000009010000}"/>
    <cellStyle name="Total 3 2 2 2" xfId="468" xr:uid="{00000000-0005-0000-0000-000009010000}"/>
    <cellStyle name="Total 3 2 2 20" xfId="4749" xr:uid="{00000000-0005-0000-0000-000009010000}"/>
    <cellStyle name="Total 3 2 2 3" xfId="577" xr:uid="{00000000-0005-0000-0000-000009010000}"/>
    <cellStyle name="Total 3 2 2 4" xfId="917" xr:uid="{00000000-0005-0000-0000-000009010000}"/>
    <cellStyle name="Total 3 2 2 5" xfId="1160" xr:uid="{00000000-0005-0000-0000-000009010000}"/>
    <cellStyle name="Total 3 2 2 6" xfId="1397" xr:uid="{00000000-0005-0000-0000-000009010000}"/>
    <cellStyle name="Total 3 2 2 7" xfId="1633" xr:uid="{00000000-0005-0000-0000-000009010000}"/>
    <cellStyle name="Total 3 2 2 8" xfId="1869" xr:uid="{00000000-0005-0000-0000-000009010000}"/>
    <cellStyle name="Total 3 2 2 9" xfId="2149" xr:uid="{00000000-0005-0000-0000-000009010000}"/>
    <cellStyle name="Total 3 2 20" xfId="4464" xr:uid="{00000000-0005-0000-0000-000008010000}"/>
    <cellStyle name="Total 3 2 21" xfId="4629" xr:uid="{00000000-0005-0000-0000-000008010000}"/>
    <cellStyle name="Total 3 2 3" xfId="347" xr:uid="{00000000-0005-0000-0000-000008010000}"/>
    <cellStyle name="Total 3 2 4" xfId="789" xr:uid="{00000000-0005-0000-0000-000008010000}"/>
    <cellStyle name="Total 3 2 5" xfId="916" xr:uid="{00000000-0005-0000-0000-000008010000}"/>
    <cellStyle name="Total 3 2 6" xfId="1040" xr:uid="{00000000-0005-0000-0000-000008010000}"/>
    <cellStyle name="Total 3 2 7" xfId="1277" xr:uid="{00000000-0005-0000-0000-000008010000}"/>
    <cellStyle name="Total 3 2 8" xfId="1513" xr:uid="{00000000-0005-0000-0000-000008010000}"/>
    <cellStyle name="Total 3 2 9" xfId="1749" xr:uid="{00000000-0005-0000-0000-000008010000}"/>
    <cellStyle name="Total 3 20" xfId="1730" xr:uid="{00000000-0005-0000-0000-000000010000}"/>
    <cellStyle name="Total 3 21" xfId="2009" xr:uid="{00000000-0005-0000-0000-000000010000}"/>
    <cellStyle name="Total 3 22" xfId="2475" xr:uid="{00000000-0005-0000-0000-000000010000}"/>
    <cellStyle name="Total 3 23" xfId="2713" xr:uid="{00000000-0005-0000-0000-000000010000}"/>
    <cellStyle name="Total 3 24" xfId="2721" xr:uid="{00000000-0005-0000-0000-000000010000}"/>
    <cellStyle name="Total 3 25" xfId="2968" xr:uid="{00000000-0005-0000-0000-000000010000}"/>
    <cellStyle name="Total 3 26" xfId="3203" xr:uid="{00000000-0005-0000-0000-000000010000}"/>
    <cellStyle name="Total 3 27" xfId="3436" xr:uid="{00000000-0005-0000-0000-000000010000}"/>
    <cellStyle name="Total 3 28" xfId="3912" xr:uid="{00000000-0005-0000-0000-000000010000}"/>
    <cellStyle name="Total 3 29" xfId="3975" xr:uid="{00000000-0005-0000-0000-000000010000}"/>
    <cellStyle name="Total 3 3" xfId="76" xr:uid="{00000000-0005-0000-0000-00000A010000}"/>
    <cellStyle name="Total 3 3 10" xfId="2037" xr:uid="{00000000-0005-0000-0000-00000A010000}"/>
    <cellStyle name="Total 3 3 11" xfId="2274" xr:uid="{00000000-0005-0000-0000-00000A010000}"/>
    <cellStyle name="Total 3 3 12" xfId="2514" xr:uid="{00000000-0005-0000-0000-00000A010000}"/>
    <cellStyle name="Total 3 3 13" xfId="2790" xr:uid="{00000000-0005-0000-0000-00000A010000}"/>
    <cellStyle name="Total 3 3 14" xfId="2996" xr:uid="{00000000-0005-0000-0000-00000A010000}"/>
    <cellStyle name="Total 3 3 15" xfId="3269" xr:uid="{00000000-0005-0000-0000-00000A010000}"/>
    <cellStyle name="Total 3 3 16" xfId="3464" xr:uid="{00000000-0005-0000-0000-00000A010000}"/>
    <cellStyle name="Total 3 3 17" xfId="3713" xr:uid="{00000000-0005-0000-0000-00000A010000}"/>
    <cellStyle name="Total 3 3 18" xfId="3978" xr:uid="{00000000-0005-0000-0000-00000A010000}"/>
    <cellStyle name="Total 3 3 19" xfId="4188" xr:uid="{00000000-0005-0000-0000-00000A010000}"/>
    <cellStyle name="Total 3 3 2" xfId="197" xr:uid="{00000000-0005-0000-0000-00000B010000}"/>
    <cellStyle name="Total 3 3 2 10" xfId="2394" xr:uid="{00000000-0005-0000-0000-00000B010000}"/>
    <cellStyle name="Total 3 3 2 11" xfId="2632" xr:uid="{00000000-0005-0000-0000-00000B010000}"/>
    <cellStyle name="Total 3 3 2 12" xfId="2895" xr:uid="{00000000-0005-0000-0000-00000B010000}"/>
    <cellStyle name="Total 3 3 2 13" xfId="3117" xr:uid="{00000000-0005-0000-0000-00000B010000}"/>
    <cellStyle name="Total 3 3 2 14" xfId="3371" xr:uid="{00000000-0005-0000-0000-00000B010000}"/>
    <cellStyle name="Total 3 3 2 15" xfId="3585" xr:uid="{00000000-0005-0000-0000-00000B010000}"/>
    <cellStyle name="Total 3 3 2 16" xfId="3831" xr:uid="{00000000-0005-0000-0000-00000B010000}"/>
    <cellStyle name="Total 3 3 2 17" xfId="3941" xr:uid="{00000000-0005-0000-0000-00000B010000}"/>
    <cellStyle name="Total 3 3 2 18" xfId="4309" xr:uid="{00000000-0005-0000-0000-00000B010000}"/>
    <cellStyle name="Total 3 3 2 19" xfId="4445" xr:uid="{00000000-0005-0000-0000-00000B010000}"/>
    <cellStyle name="Total 3 3 2 2" xfId="477" xr:uid="{00000000-0005-0000-0000-00000B010000}"/>
    <cellStyle name="Total 3 3 2 20" xfId="4758" xr:uid="{00000000-0005-0000-0000-00000B010000}"/>
    <cellStyle name="Total 3 3 2 3" xfId="561" xr:uid="{00000000-0005-0000-0000-00000B010000}"/>
    <cellStyle name="Total 3 3 2 4" xfId="961" xr:uid="{00000000-0005-0000-0000-00000B010000}"/>
    <cellStyle name="Total 3 3 2 5" xfId="1169" xr:uid="{00000000-0005-0000-0000-00000B010000}"/>
    <cellStyle name="Total 3 3 2 6" xfId="1406" xr:uid="{00000000-0005-0000-0000-00000B010000}"/>
    <cellStyle name="Total 3 3 2 7" xfId="1642" xr:uid="{00000000-0005-0000-0000-00000B010000}"/>
    <cellStyle name="Total 3 3 2 8" xfId="1878" xr:uid="{00000000-0005-0000-0000-00000B010000}"/>
    <cellStyle name="Total 3 3 2 9" xfId="2158" xr:uid="{00000000-0005-0000-0000-00000B010000}"/>
    <cellStyle name="Total 3 3 20" xfId="4517" xr:uid="{00000000-0005-0000-0000-00000A010000}"/>
    <cellStyle name="Total 3 3 21" xfId="4638" xr:uid="{00000000-0005-0000-0000-00000A010000}"/>
    <cellStyle name="Total 3 3 3" xfId="356" xr:uid="{00000000-0005-0000-0000-00000A010000}"/>
    <cellStyle name="Total 3 3 4" xfId="754" xr:uid="{00000000-0005-0000-0000-00000A010000}"/>
    <cellStyle name="Total 3 3 5" xfId="866" xr:uid="{00000000-0005-0000-0000-00000A010000}"/>
    <cellStyle name="Total 3 3 6" xfId="1049" xr:uid="{00000000-0005-0000-0000-00000A010000}"/>
    <cellStyle name="Total 3 3 7" xfId="1286" xr:uid="{00000000-0005-0000-0000-00000A010000}"/>
    <cellStyle name="Total 3 3 8" xfId="1522" xr:uid="{00000000-0005-0000-0000-00000A010000}"/>
    <cellStyle name="Total 3 3 9" xfId="1758" xr:uid="{00000000-0005-0000-0000-00000A010000}"/>
    <cellStyle name="Total 3 30" xfId="4160" xr:uid="{00000000-0005-0000-0000-000000010000}"/>
    <cellStyle name="Total 3 31" xfId="4155" xr:uid="{00000000-0005-0000-0000-000000010000}"/>
    <cellStyle name="Total 3 32" xfId="4610" xr:uid="{00000000-0005-0000-0000-000000010000}"/>
    <cellStyle name="Total 3 4" xfId="86" xr:uid="{00000000-0005-0000-0000-00000C010000}"/>
    <cellStyle name="Total 3 4 10" xfId="2047" xr:uid="{00000000-0005-0000-0000-00000C010000}"/>
    <cellStyle name="Total 3 4 11" xfId="2301" xr:uid="{00000000-0005-0000-0000-00000C010000}"/>
    <cellStyle name="Total 3 4 12" xfId="2541" xr:uid="{00000000-0005-0000-0000-00000C010000}"/>
    <cellStyle name="Total 3 4 13" xfId="2757" xr:uid="{00000000-0005-0000-0000-00000C010000}"/>
    <cellStyle name="Total 3 4 14" xfId="3006" xr:uid="{00000000-0005-0000-0000-00000C010000}"/>
    <cellStyle name="Total 3 4 15" xfId="3237" xr:uid="{00000000-0005-0000-0000-00000C010000}"/>
    <cellStyle name="Total 3 4 16" xfId="3474" xr:uid="{00000000-0005-0000-0000-00000C010000}"/>
    <cellStyle name="Total 3 4 17" xfId="3740" xr:uid="{00000000-0005-0000-0000-00000C010000}"/>
    <cellStyle name="Total 3 4 18" xfId="3928" xr:uid="{00000000-0005-0000-0000-00000C010000}"/>
    <cellStyle name="Total 3 4 19" xfId="4198" xr:uid="{00000000-0005-0000-0000-00000C010000}"/>
    <cellStyle name="Total 3 4 2" xfId="207" xr:uid="{00000000-0005-0000-0000-00000D010000}"/>
    <cellStyle name="Total 3 4 2 10" xfId="2354" xr:uid="{00000000-0005-0000-0000-00000D010000}"/>
    <cellStyle name="Total 3 4 2 11" xfId="2593" xr:uid="{00000000-0005-0000-0000-00000D010000}"/>
    <cellStyle name="Total 3 4 2 12" xfId="2722" xr:uid="{00000000-0005-0000-0000-00000D010000}"/>
    <cellStyle name="Total 3 4 2 13" xfId="3127" xr:uid="{00000000-0005-0000-0000-00000D010000}"/>
    <cellStyle name="Total 3 4 2 14" xfId="3204" xr:uid="{00000000-0005-0000-0000-00000D010000}"/>
    <cellStyle name="Total 3 4 2 15" xfId="3595" xr:uid="{00000000-0005-0000-0000-00000D010000}"/>
    <cellStyle name="Total 3 4 2 16" xfId="3791" xr:uid="{00000000-0005-0000-0000-00000D010000}"/>
    <cellStyle name="Total 3 4 2 17" xfId="4049" xr:uid="{00000000-0005-0000-0000-00000D010000}"/>
    <cellStyle name="Total 3 4 2 18" xfId="4319" xr:uid="{00000000-0005-0000-0000-00000D010000}"/>
    <cellStyle name="Total 3 4 2 19" xfId="4442" xr:uid="{00000000-0005-0000-0000-00000D010000}"/>
    <cellStyle name="Total 3 4 2 2" xfId="487" xr:uid="{00000000-0005-0000-0000-00000D010000}"/>
    <cellStyle name="Total 3 4 2 20" xfId="4768" xr:uid="{00000000-0005-0000-0000-00000D010000}"/>
    <cellStyle name="Total 3 4 2 3" xfId="767" xr:uid="{00000000-0005-0000-0000-00000D010000}"/>
    <cellStyle name="Total 3 4 2 4" xfId="802" xr:uid="{00000000-0005-0000-0000-00000D010000}"/>
    <cellStyle name="Total 3 4 2 5" xfId="1179" xr:uid="{00000000-0005-0000-0000-00000D010000}"/>
    <cellStyle name="Total 3 4 2 6" xfId="1416" xr:uid="{00000000-0005-0000-0000-00000D010000}"/>
    <cellStyle name="Total 3 4 2 7" xfId="1652" xr:uid="{00000000-0005-0000-0000-00000D010000}"/>
    <cellStyle name="Total 3 4 2 8" xfId="1888" xr:uid="{00000000-0005-0000-0000-00000D010000}"/>
    <cellStyle name="Total 3 4 2 9" xfId="2168" xr:uid="{00000000-0005-0000-0000-00000D010000}"/>
    <cellStyle name="Total 3 4 20" xfId="4513" xr:uid="{00000000-0005-0000-0000-00000C010000}"/>
    <cellStyle name="Total 3 4 21" xfId="4648" xr:uid="{00000000-0005-0000-0000-00000C010000}"/>
    <cellStyle name="Total 3 4 3" xfId="366" xr:uid="{00000000-0005-0000-0000-00000C010000}"/>
    <cellStyle name="Total 3 4 4" xfId="697" xr:uid="{00000000-0005-0000-0000-00000C010000}"/>
    <cellStyle name="Total 3 4 5" xfId="833" xr:uid="{00000000-0005-0000-0000-00000C010000}"/>
    <cellStyle name="Total 3 4 6" xfId="1059" xr:uid="{00000000-0005-0000-0000-00000C010000}"/>
    <cellStyle name="Total 3 4 7" xfId="1296" xr:uid="{00000000-0005-0000-0000-00000C010000}"/>
    <cellStyle name="Total 3 4 8" xfId="1532" xr:uid="{00000000-0005-0000-0000-00000C010000}"/>
    <cellStyle name="Total 3 4 9" xfId="1768" xr:uid="{00000000-0005-0000-0000-00000C010000}"/>
    <cellStyle name="Total 3 5" xfId="92" xr:uid="{00000000-0005-0000-0000-00000E010000}"/>
    <cellStyle name="Total 3 5 10" xfId="2053" xr:uid="{00000000-0005-0000-0000-00000E010000}"/>
    <cellStyle name="Total 3 5 11" xfId="2377" xr:uid="{00000000-0005-0000-0000-00000E010000}"/>
    <cellStyle name="Total 3 5 12" xfId="2615" xr:uid="{00000000-0005-0000-0000-00000E010000}"/>
    <cellStyle name="Total 3 5 13" xfId="2921" xr:uid="{00000000-0005-0000-0000-00000E010000}"/>
    <cellStyle name="Total 3 5 14" xfId="3012" xr:uid="{00000000-0005-0000-0000-00000E010000}"/>
    <cellStyle name="Total 3 5 15" xfId="3396" xr:uid="{00000000-0005-0000-0000-00000E010000}"/>
    <cellStyle name="Total 3 5 16" xfId="3480" xr:uid="{00000000-0005-0000-0000-00000E010000}"/>
    <cellStyle name="Total 3 5 17" xfId="3814" xr:uid="{00000000-0005-0000-0000-00000E010000}"/>
    <cellStyle name="Total 3 5 18" xfId="3985" xr:uid="{00000000-0005-0000-0000-00000E010000}"/>
    <cellStyle name="Total 3 5 19" xfId="4204" xr:uid="{00000000-0005-0000-0000-00000E010000}"/>
    <cellStyle name="Total 3 5 2" xfId="213" xr:uid="{00000000-0005-0000-0000-00000F010000}"/>
    <cellStyle name="Total 3 5 2 10" xfId="2465" xr:uid="{00000000-0005-0000-0000-00000F010000}"/>
    <cellStyle name="Total 3 5 2 11" xfId="2703" xr:uid="{00000000-0005-0000-0000-00000F010000}"/>
    <cellStyle name="Total 3 5 2 12" xfId="2798" xr:uid="{00000000-0005-0000-0000-00000F010000}"/>
    <cellStyle name="Total 3 5 2 13" xfId="3133" xr:uid="{00000000-0005-0000-0000-00000F010000}"/>
    <cellStyle name="Total 3 5 2 14" xfId="3277" xr:uid="{00000000-0005-0000-0000-00000F010000}"/>
    <cellStyle name="Total 3 5 2 15" xfId="3601" xr:uid="{00000000-0005-0000-0000-00000F010000}"/>
    <cellStyle name="Total 3 5 2 16" xfId="3902" xr:uid="{00000000-0005-0000-0000-00000F010000}"/>
    <cellStyle name="Total 3 5 2 17" xfId="4149" xr:uid="{00000000-0005-0000-0000-00000F010000}"/>
    <cellStyle name="Total 3 5 2 18" xfId="4325" xr:uid="{00000000-0005-0000-0000-00000F010000}"/>
    <cellStyle name="Total 3 5 2 19" xfId="4113" xr:uid="{00000000-0005-0000-0000-00000F010000}"/>
    <cellStyle name="Total 3 5 2 2" xfId="493" xr:uid="{00000000-0005-0000-0000-00000F010000}"/>
    <cellStyle name="Total 3 5 2 20" xfId="4774" xr:uid="{00000000-0005-0000-0000-00000F010000}"/>
    <cellStyle name="Total 3 5 2 3" xfId="727" xr:uid="{00000000-0005-0000-0000-00000F010000}"/>
    <cellStyle name="Total 3 5 2 4" xfId="874" xr:uid="{00000000-0005-0000-0000-00000F010000}"/>
    <cellStyle name="Total 3 5 2 5" xfId="1185" xr:uid="{00000000-0005-0000-0000-00000F010000}"/>
    <cellStyle name="Total 3 5 2 6" xfId="1422" xr:uid="{00000000-0005-0000-0000-00000F010000}"/>
    <cellStyle name="Total 3 5 2 7" xfId="1658" xr:uid="{00000000-0005-0000-0000-00000F010000}"/>
    <cellStyle name="Total 3 5 2 8" xfId="1894" xr:uid="{00000000-0005-0000-0000-00000F010000}"/>
    <cellStyle name="Total 3 5 2 9" xfId="2174" xr:uid="{00000000-0005-0000-0000-00000F010000}"/>
    <cellStyle name="Total 3 5 20" xfId="4433" xr:uid="{00000000-0005-0000-0000-00000E010000}"/>
    <cellStyle name="Total 3 5 21" xfId="4654" xr:uid="{00000000-0005-0000-0000-00000E010000}"/>
    <cellStyle name="Total 3 5 3" xfId="372" xr:uid="{00000000-0005-0000-0000-00000E010000}"/>
    <cellStyle name="Total 3 5 4" xfId="637" xr:uid="{00000000-0005-0000-0000-00000E010000}"/>
    <cellStyle name="Total 3 5 5" xfId="986" xr:uid="{00000000-0005-0000-0000-00000E010000}"/>
    <cellStyle name="Total 3 5 6" xfId="1065" xr:uid="{00000000-0005-0000-0000-00000E010000}"/>
    <cellStyle name="Total 3 5 7" xfId="1302" xr:uid="{00000000-0005-0000-0000-00000E010000}"/>
    <cellStyle name="Total 3 5 8" xfId="1538" xr:uid="{00000000-0005-0000-0000-00000E010000}"/>
    <cellStyle name="Total 3 5 9" xfId="1774" xr:uid="{00000000-0005-0000-0000-00000E010000}"/>
    <cellStyle name="Total 3 6" xfId="98" xr:uid="{00000000-0005-0000-0000-000010010000}"/>
    <cellStyle name="Total 3 6 10" xfId="2059" xr:uid="{00000000-0005-0000-0000-000010010000}"/>
    <cellStyle name="Total 3 6 11" xfId="2403" xr:uid="{00000000-0005-0000-0000-000010010000}"/>
    <cellStyle name="Total 3 6 12" xfId="2641" xr:uid="{00000000-0005-0000-0000-000010010000}"/>
    <cellStyle name="Total 3 6 13" xfId="2523" xr:uid="{00000000-0005-0000-0000-000010010000}"/>
    <cellStyle name="Total 3 6 14" xfId="3018" xr:uid="{00000000-0005-0000-0000-000010010000}"/>
    <cellStyle name="Total 3 6 15" xfId="2766" xr:uid="{00000000-0005-0000-0000-000010010000}"/>
    <cellStyle name="Total 3 6 16" xfId="3486" xr:uid="{00000000-0005-0000-0000-000010010000}"/>
    <cellStyle name="Total 3 6 17" xfId="3840" xr:uid="{00000000-0005-0000-0000-000010010000}"/>
    <cellStyle name="Total 3 6 18" xfId="4055" xr:uid="{00000000-0005-0000-0000-000010010000}"/>
    <cellStyle name="Total 3 6 19" xfId="4210" xr:uid="{00000000-0005-0000-0000-000010010000}"/>
    <cellStyle name="Total 3 6 2" xfId="219" xr:uid="{00000000-0005-0000-0000-000011010000}"/>
    <cellStyle name="Total 3 6 2 10" xfId="2271" xr:uid="{00000000-0005-0000-0000-000011010000}"/>
    <cellStyle name="Total 3 6 2 11" xfId="2511" xr:uid="{00000000-0005-0000-0000-000011010000}"/>
    <cellStyle name="Total 3 6 2 12" xfId="2761" xr:uid="{00000000-0005-0000-0000-000011010000}"/>
    <cellStyle name="Total 3 6 2 13" xfId="3139" xr:uid="{00000000-0005-0000-0000-000011010000}"/>
    <cellStyle name="Total 3 6 2 14" xfId="3241" xr:uid="{00000000-0005-0000-0000-000011010000}"/>
    <cellStyle name="Total 3 6 2 15" xfId="3607" xr:uid="{00000000-0005-0000-0000-000011010000}"/>
    <cellStyle name="Total 3 6 2 16" xfId="3710" xr:uid="{00000000-0005-0000-0000-000011010000}"/>
    <cellStyle name="Total 3 6 2 17" xfId="3720" xr:uid="{00000000-0005-0000-0000-000011010000}"/>
    <cellStyle name="Total 3 6 2 18" xfId="4331" xr:uid="{00000000-0005-0000-0000-000011010000}"/>
    <cellStyle name="Total 3 6 2 19" xfId="4406" xr:uid="{00000000-0005-0000-0000-000011010000}"/>
    <cellStyle name="Total 3 6 2 2" xfId="499" xr:uid="{00000000-0005-0000-0000-000011010000}"/>
    <cellStyle name="Total 3 6 2 20" xfId="4780" xr:uid="{00000000-0005-0000-0000-000011010000}"/>
    <cellStyle name="Total 3 6 2 3" xfId="702" xr:uid="{00000000-0005-0000-0000-000011010000}"/>
    <cellStyle name="Total 3 6 2 4" xfId="837" xr:uid="{00000000-0005-0000-0000-000011010000}"/>
    <cellStyle name="Total 3 6 2 5" xfId="1191" xr:uid="{00000000-0005-0000-0000-000011010000}"/>
    <cellStyle name="Total 3 6 2 6" xfId="1428" xr:uid="{00000000-0005-0000-0000-000011010000}"/>
    <cellStyle name="Total 3 6 2 7" xfId="1664" xr:uid="{00000000-0005-0000-0000-000011010000}"/>
    <cellStyle name="Total 3 6 2 8" xfId="1900" xr:uid="{00000000-0005-0000-0000-000011010000}"/>
    <cellStyle name="Total 3 6 2 9" xfId="2180" xr:uid="{00000000-0005-0000-0000-000011010000}"/>
    <cellStyle name="Total 3 6 20" xfId="4575" xr:uid="{00000000-0005-0000-0000-000010010000}"/>
    <cellStyle name="Total 3 6 21" xfId="4660" xr:uid="{00000000-0005-0000-0000-000010010000}"/>
    <cellStyle name="Total 3 6 3" xfId="378" xr:uid="{00000000-0005-0000-0000-000010010000}"/>
    <cellStyle name="Total 3 6 4" xfId="768" xr:uid="{00000000-0005-0000-0000-000010010000}"/>
    <cellStyle name="Total 3 6 5" xfId="612" xr:uid="{00000000-0005-0000-0000-000010010000}"/>
    <cellStyle name="Total 3 6 6" xfId="1071" xr:uid="{00000000-0005-0000-0000-000010010000}"/>
    <cellStyle name="Total 3 6 7" xfId="1308" xr:uid="{00000000-0005-0000-0000-000010010000}"/>
    <cellStyle name="Total 3 6 8" xfId="1544" xr:uid="{00000000-0005-0000-0000-000010010000}"/>
    <cellStyle name="Total 3 6 9" xfId="1780" xr:uid="{00000000-0005-0000-0000-000010010000}"/>
    <cellStyle name="Total 3 7" xfId="124" xr:uid="{00000000-0005-0000-0000-000012010000}"/>
    <cellStyle name="Total 3 7 10" xfId="2085" xr:uid="{00000000-0005-0000-0000-000012010000}"/>
    <cellStyle name="Total 3 7 11" xfId="2265" xr:uid="{00000000-0005-0000-0000-000012010000}"/>
    <cellStyle name="Total 3 7 12" xfId="2505" xr:uid="{00000000-0005-0000-0000-000012010000}"/>
    <cellStyle name="Total 3 7 13" xfId="2792" xr:uid="{00000000-0005-0000-0000-000012010000}"/>
    <cellStyle name="Total 3 7 14" xfId="3044" xr:uid="{00000000-0005-0000-0000-000012010000}"/>
    <cellStyle name="Total 3 7 15" xfId="3271" xr:uid="{00000000-0005-0000-0000-000012010000}"/>
    <cellStyle name="Total 3 7 16" xfId="3512" xr:uid="{00000000-0005-0000-0000-000012010000}"/>
    <cellStyle name="Total 3 7 17" xfId="3704" xr:uid="{00000000-0005-0000-0000-000012010000}"/>
    <cellStyle name="Total 3 7 18" xfId="4103" xr:uid="{00000000-0005-0000-0000-000012010000}"/>
    <cellStyle name="Total 3 7 19" xfId="4236" xr:uid="{00000000-0005-0000-0000-000012010000}"/>
    <cellStyle name="Total 3 7 2" xfId="245" xr:uid="{00000000-0005-0000-0000-000013010000}"/>
    <cellStyle name="Total 3 7 2 10" xfId="2460" xr:uid="{00000000-0005-0000-0000-000013010000}"/>
    <cellStyle name="Total 3 7 2 11" xfId="2698" xr:uid="{00000000-0005-0000-0000-000013010000}"/>
    <cellStyle name="Total 3 7 2 12" xfId="2730" xr:uid="{00000000-0005-0000-0000-000013010000}"/>
    <cellStyle name="Total 3 7 2 13" xfId="3165" xr:uid="{00000000-0005-0000-0000-000013010000}"/>
    <cellStyle name="Total 3 7 2 14" xfId="3212" xr:uid="{00000000-0005-0000-0000-000013010000}"/>
    <cellStyle name="Total 3 7 2 15" xfId="3633" xr:uid="{00000000-0005-0000-0000-000013010000}"/>
    <cellStyle name="Total 3 7 2 16" xfId="3897" xr:uid="{00000000-0005-0000-0000-000013010000}"/>
    <cellStyle name="Total 3 7 2 17" xfId="4021" xr:uid="{00000000-0005-0000-0000-000013010000}"/>
    <cellStyle name="Total 3 7 2 18" xfId="4357" xr:uid="{00000000-0005-0000-0000-000013010000}"/>
    <cellStyle name="Total 3 7 2 19" xfId="4444" xr:uid="{00000000-0005-0000-0000-000013010000}"/>
    <cellStyle name="Total 3 7 2 2" xfId="525" xr:uid="{00000000-0005-0000-0000-000013010000}"/>
    <cellStyle name="Total 3 7 2 20" xfId="4806" xr:uid="{00000000-0005-0000-0000-000013010000}"/>
    <cellStyle name="Total 3 7 2 3" xfId="678" xr:uid="{00000000-0005-0000-0000-000013010000}"/>
    <cellStyle name="Total 3 7 2 4" xfId="809" xr:uid="{00000000-0005-0000-0000-000013010000}"/>
    <cellStyle name="Total 3 7 2 5" xfId="1217" xr:uid="{00000000-0005-0000-0000-000013010000}"/>
    <cellStyle name="Total 3 7 2 6" xfId="1454" xr:uid="{00000000-0005-0000-0000-000013010000}"/>
    <cellStyle name="Total 3 7 2 7" xfId="1690" xr:uid="{00000000-0005-0000-0000-000013010000}"/>
    <cellStyle name="Total 3 7 2 8" xfId="1926" xr:uid="{00000000-0005-0000-0000-000013010000}"/>
    <cellStyle name="Total 3 7 2 9" xfId="2206" xr:uid="{00000000-0005-0000-0000-000013010000}"/>
    <cellStyle name="Total 3 7 20" xfId="4397" xr:uid="{00000000-0005-0000-0000-000012010000}"/>
    <cellStyle name="Total 3 7 21" xfId="4686" xr:uid="{00000000-0005-0000-0000-000012010000}"/>
    <cellStyle name="Total 3 7 3" xfId="404" xr:uid="{00000000-0005-0000-0000-000012010000}"/>
    <cellStyle name="Total 3 7 4" xfId="749" xr:uid="{00000000-0005-0000-0000-000012010000}"/>
    <cellStyle name="Total 3 7 5" xfId="868" xr:uid="{00000000-0005-0000-0000-000012010000}"/>
    <cellStyle name="Total 3 7 6" xfId="1097" xr:uid="{00000000-0005-0000-0000-000012010000}"/>
    <cellStyle name="Total 3 7 7" xfId="1334" xr:uid="{00000000-0005-0000-0000-000012010000}"/>
    <cellStyle name="Total 3 7 8" xfId="1570" xr:uid="{00000000-0005-0000-0000-000012010000}"/>
    <cellStyle name="Total 3 7 9" xfId="1806" xr:uid="{00000000-0005-0000-0000-000012010000}"/>
    <cellStyle name="Total 3 8" xfId="132" xr:uid="{00000000-0005-0000-0000-000014010000}"/>
    <cellStyle name="Total 3 8 10" xfId="2093" xr:uid="{00000000-0005-0000-0000-000014010000}"/>
    <cellStyle name="Total 3 8 11" xfId="2453" xr:uid="{00000000-0005-0000-0000-000014010000}"/>
    <cellStyle name="Total 3 8 12" xfId="2691" xr:uid="{00000000-0005-0000-0000-000014010000}"/>
    <cellStyle name="Total 3 8 13" xfId="2732" xr:uid="{00000000-0005-0000-0000-000014010000}"/>
    <cellStyle name="Total 3 8 14" xfId="3052" xr:uid="{00000000-0005-0000-0000-000014010000}"/>
    <cellStyle name="Total 3 8 15" xfId="3214" xr:uid="{00000000-0005-0000-0000-000014010000}"/>
    <cellStyle name="Total 3 8 16" xfId="3520" xr:uid="{00000000-0005-0000-0000-000014010000}"/>
    <cellStyle name="Total 3 8 17" xfId="3890" xr:uid="{00000000-0005-0000-0000-000014010000}"/>
    <cellStyle name="Total 3 8 18" xfId="3938" xr:uid="{00000000-0005-0000-0000-000014010000}"/>
    <cellStyle name="Total 3 8 19" xfId="4244" xr:uid="{00000000-0005-0000-0000-000014010000}"/>
    <cellStyle name="Total 3 8 2" xfId="253" xr:uid="{00000000-0005-0000-0000-000015010000}"/>
    <cellStyle name="Total 3 8 2 10" xfId="2361" xr:uid="{00000000-0005-0000-0000-000015010000}"/>
    <cellStyle name="Total 3 8 2 11" xfId="2600" xr:uid="{00000000-0005-0000-0000-000015010000}"/>
    <cellStyle name="Total 3 8 2 12" xfId="2923" xr:uid="{00000000-0005-0000-0000-000015010000}"/>
    <cellStyle name="Total 3 8 2 13" xfId="3173" xr:uid="{00000000-0005-0000-0000-000015010000}"/>
    <cellStyle name="Total 3 8 2 14" xfId="3398" xr:uid="{00000000-0005-0000-0000-000015010000}"/>
    <cellStyle name="Total 3 8 2 15" xfId="3641" xr:uid="{00000000-0005-0000-0000-000015010000}"/>
    <cellStyle name="Total 3 8 2 16" xfId="3798" xr:uid="{00000000-0005-0000-0000-000015010000}"/>
    <cellStyle name="Total 3 8 2 17" xfId="4004" xr:uid="{00000000-0005-0000-0000-000015010000}"/>
    <cellStyle name="Total 3 8 2 18" xfId="4365" xr:uid="{00000000-0005-0000-0000-000015010000}"/>
    <cellStyle name="Total 3 8 2 19" xfId="4556" xr:uid="{00000000-0005-0000-0000-000015010000}"/>
    <cellStyle name="Total 3 8 2 2" xfId="533" xr:uid="{00000000-0005-0000-0000-000015010000}"/>
    <cellStyle name="Total 3 8 2 20" xfId="4814" xr:uid="{00000000-0005-0000-0000-000015010000}"/>
    <cellStyle name="Total 3 8 2 3" xfId="292" xr:uid="{00000000-0005-0000-0000-000015010000}"/>
    <cellStyle name="Total 3 8 2 4" xfId="988" xr:uid="{00000000-0005-0000-0000-000015010000}"/>
    <cellStyle name="Total 3 8 2 5" xfId="1225" xr:uid="{00000000-0005-0000-0000-000015010000}"/>
    <cellStyle name="Total 3 8 2 6" xfId="1462" xr:uid="{00000000-0005-0000-0000-000015010000}"/>
    <cellStyle name="Total 3 8 2 7" xfId="1698" xr:uid="{00000000-0005-0000-0000-000015010000}"/>
    <cellStyle name="Total 3 8 2 8" xfId="1934" xr:uid="{00000000-0005-0000-0000-000015010000}"/>
    <cellStyle name="Total 3 8 2 9" xfId="2214" xr:uid="{00000000-0005-0000-0000-000015010000}"/>
    <cellStyle name="Total 3 8 20" xfId="4440" xr:uid="{00000000-0005-0000-0000-000014010000}"/>
    <cellStyle name="Total 3 8 21" xfId="4694" xr:uid="{00000000-0005-0000-0000-000014010000}"/>
    <cellStyle name="Total 3 8 3" xfId="412" xr:uid="{00000000-0005-0000-0000-000014010000}"/>
    <cellStyle name="Total 3 8 4" xfId="689" xr:uid="{00000000-0005-0000-0000-000014010000}"/>
    <cellStyle name="Total 3 8 5" xfId="811" xr:uid="{00000000-0005-0000-0000-000014010000}"/>
    <cellStyle name="Total 3 8 6" xfId="1105" xr:uid="{00000000-0005-0000-0000-000014010000}"/>
    <cellStyle name="Total 3 8 7" xfId="1342" xr:uid="{00000000-0005-0000-0000-000014010000}"/>
    <cellStyle name="Total 3 8 8" xfId="1578" xr:uid="{00000000-0005-0000-0000-000014010000}"/>
    <cellStyle name="Total 3 8 9" xfId="1814" xr:uid="{00000000-0005-0000-0000-000014010000}"/>
    <cellStyle name="Total 3 9" xfId="139" xr:uid="{00000000-0005-0000-0000-000016010000}"/>
    <cellStyle name="Total 3 9 10" xfId="2100" xr:uid="{00000000-0005-0000-0000-000016010000}"/>
    <cellStyle name="Total 3 9 11" xfId="2291" xr:uid="{00000000-0005-0000-0000-000016010000}"/>
    <cellStyle name="Total 3 9 12" xfId="2531" xr:uid="{00000000-0005-0000-0000-000016010000}"/>
    <cellStyle name="Total 3 9 13" xfId="2838" xr:uid="{00000000-0005-0000-0000-000016010000}"/>
    <cellStyle name="Total 3 9 14" xfId="3059" xr:uid="{00000000-0005-0000-0000-000016010000}"/>
    <cellStyle name="Total 3 9 15" xfId="3314" xr:uid="{00000000-0005-0000-0000-000016010000}"/>
    <cellStyle name="Total 3 9 16" xfId="3527" xr:uid="{00000000-0005-0000-0000-000016010000}"/>
    <cellStyle name="Total 3 9 17" xfId="3730" xr:uid="{00000000-0005-0000-0000-000016010000}"/>
    <cellStyle name="Total 3 9 18" xfId="3974" xr:uid="{00000000-0005-0000-0000-000016010000}"/>
    <cellStyle name="Total 3 9 19" xfId="4251" xr:uid="{00000000-0005-0000-0000-000016010000}"/>
    <cellStyle name="Total 3 9 2" xfId="260" xr:uid="{00000000-0005-0000-0000-000017010000}"/>
    <cellStyle name="Total 3 9 2 10" xfId="2468" xr:uid="{00000000-0005-0000-0000-000017010000}"/>
    <cellStyle name="Total 3 9 2 11" xfId="2706" xr:uid="{00000000-0005-0000-0000-000017010000}"/>
    <cellStyle name="Total 3 9 2 12" xfId="2286" xr:uid="{00000000-0005-0000-0000-000017010000}"/>
    <cellStyle name="Total 3 9 2 13" xfId="3180" xr:uid="{00000000-0005-0000-0000-000017010000}"/>
    <cellStyle name="Total 3 9 2 14" xfId="2846" xr:uid="{00000000-0005-0000-0000-000017010000}"/>
    <cellStyle name="Total 3 9 2 15" xfId="3648" xr:uid="{00000000-0005-0000-0000-000017010000}"/>
    <cellStyle name="Total 3 9 2 16" xfId="3905" xr:uid="{00000000-0005-0000-0000-000017010000}"/>
    <cellStyle name="Total 3 9 2 17" xfId="4060" xr:uid="{00000000-0005-0000-0000-000017010000}"/>
    <cellStyle name="Total 3 9 2 18" xfId="4372" xr:uid="{00000000-0005-0000-0000-000017010000}"/>
    <cellStyle name="Total 3 9 2 19" xfId="4546" xr:uid="{00000000-0005-0000-0000-000017010000}"/>
    <cellStyle name="Total 3 9 2 2" xfId="540" xr:uid="{00000000-0005-0000-0000-000017010000}"/>
    <cellStyle name="Total 3 9 2 20" xfId="4821" xr:uid="{00000000-0005-0000-0000-000017010000}"/>
    <cellStyle name="Total 3 9 2 3" xfId="303" xr:uid="{00000000-0005-0000-0000-000017010000}"/>
    <cellStyle name="Total 3 9 2 4" xfId="665" xr:uid="{00000000-0005-0000-0000-000017010000}"/>
    <cellStyle name="Total 3 9 2 5" xfId="1232" xr:uid="{00000000-0005-0000-0000-000017010000}"/>
    <cellStyle name="Total 3 9 2 6" xfId="1469" xr:uid="{00000000-0005-0000-0000-000017010000}"/>
    <cellStyle name="Total 3 9 2 7" xfId="1705" xr:uid="{00000000-0005-0000-0000-000017010000}"/>
    <cellStyle name="Total 3 9 2 8" xfId="1941" xr:uid="{00000000-0005-0000-0000-000017010000}"/>
    <cellStyle name="Total 3 9 2 9" xfId="2221" xr:uid="{00000000-0005-0000-0000-000017010000}"/>
    <cellStyle name="Total 3 9 20" xfId="4271" xr:uid="{00000000-0005-0000-0000-000016010000}"/>
    <cellStyle name="Total 3 9 21" xfId="4701" xr:uid="{00000000-0005-0000-0000-000016010000}"/>
    <cellStyle name="Total 3 9 3" xfId="419" xr:uid="{00000000-0005-0000-0000-000016010000}"/>
    <cellStyle name="Total 3 9 4" xfId="748" xr:uid="{00000000-0005-0000-0000-000016010000}"/>
    <cellStyle name="Total 3 9 5" xfId="909" xr:uid="{00000000-0005-0000-0000-000016010000}"/>
    <cellStyle name="Total 3 9 6" xfId="1112" xr:uid="{00000000-0005-0000-0000-000016010000}"/>
    <cellStyle name="Total 3 9 7" xfId="1349" xr:uid="{00000000-0005-0000-0000-000016010000}"/>
    <cellStyle name="Total 3 9 8" xfId="1585" xr:uid="{00000000-0005-0000-0000-000016010000}"/>
    <cellStyle name="Total 3 9 9" xfId="1821" xr:uid="{00000000-0005-0000-0000-000016010000}"/>
    <cellStyle name="Warning Text 2" xfId="26" xr:uid="{00000000-0005-0000-0000-000018010000}"/>
  </cellStyles>
  <dxfs count="4">
    <dxf>
      <font>
        <color rgb="FF9C0006"/>
      </font>
      <fill>
        <patternFill>
          <bgColor rgb="FFFFC7CE"/>
        </patternFill>
      </fill>
    </dxf>
    <dxf>
      <font>
        <color rgb="FF9C0006"/>
      </font>
      <fill>
        <patternFill>
          <bgColor rgb="FFFFC7CE"/>
        </patternFill>
      </fill>
    </dxf>
    <dxf>
      <font>
        <b/>
        <i val="0"/>
      </font>
      <fill>
        <patternFill>
          <bgColor rgb="FFFF0000"/>
        </patternFill>
      </fill>
    </dxf>
    <dxf>
      <fill>
        <patternFill>
          <bgColor rgb="FFFF0000"/>
        </patternFill>
      </fill>
    </dxf>
  </dxfs>
  <tableStyles count="0" defaultTableStyle="TableStyleMedium2" defaultPivotStyle="PivotStyleLight16"/>
  <colors>
    <mruColors>
      <color rgb="FFFF8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drawing1.xml><?xml version="1.0" encoding="utf-8"?>
<xdr:wsDr xmlns:xdr="http://schemas.openxmlformats.org/drawingml/2006/spreadsheetDrawing" xmlns:a="http://schemas.openxmlformats.org/drawingml/2006/main">
  <xdr:twoCellAnchor>
    <xdr:from>
      <xdr:col>1</xdr:col>
      <xdr:colOff>102395</xdr:colOff>
      <xdr:row>55</xdr:row>
      <xdr:rowOff>4431</xdr:rowOff>
    </xdr:from>
    <xdr:to>
      <xdr:col>4</xdr:col>
      <xdr:colOff>0</xdr:colOff>
      <xdr:row>63</xdr:row>
      <xdr:rowOff>137121</xdr:rowOff>
    </xdr:to>
    <xdr:grpSp>
      <xdr:nvGrpSpPr>
        <xdr:cNvPr id="2" name="Group 8">
          <a:extLst>
            <a:ext uri="{FF2B5EF4-FFF2-40B4-BE49-F238E27FC236}">
              <a16:creationId xmlns:a16="http://schemas.microsoft.com/office/drawing/2014/main" id="{00000000-0008-0000-0000-000002000000}"/>
            </a:ext>
          </a:extLst>
        </xdr:cNvPr>
        <xdr:cNvGrpSpPr>
          <a:grpSpLocks/>
        </xdr:cNvGrpSpPr>
      </xdr:nvGrpSpPr>
      <xdr:grpSpPr bwMode="auto">
        <a:xfrm>
          <a:off x="748508" y="20033919"/>
          <a:ext cx="5180805" cy="2799690"/>
          <a:chOff x="118" y="357"/>
          <a:chExt cx="405" cy="178"/>
        </a:xfrm>
      </xdr:grpSpPr>
      <xdr:sp macro="" textlink="">
        <xdr:nvSpPr>
          <xdr:cNvPr id="3" name="Rectangle 6">
            <a:extLst>
              <a:ext uri="{FF2B5EF4-FFF2-40B4-BE49-F238E27FC236}">
                <a16:creationId xmlns:a16="http://schemas.microsoft.com/office/drawing/2014/main" id="{00000000-0008-0000-0000-000003000000}"/>
              </a:ext>
            </a:extLst>
          </xdr:cNvPr>
          <xdr:cNvSpPr>
            <a:spLocks noChangeArrowheads="1"/>
          </xdr:cNvSpPr>
        </xdr:nvSpPr>
        <xdr:spPr bwMode="auto">
          <a:xfrm>
            <a:off x="118" y="357"/>
            <a:ext cx="405" cy="178"/>
          </a:xfrm>
          <a:prstGeom prst="rect">
            <a:avLst/>
          </a:prstGeom>
          <a:solidFill>
            <a:srgbClr val="FFFFFF"/>
          </a:solidFill>
          <a:ln w="9525">
            <a:solidFill>
              <a:srgbClr val="000000"/>
            </a:solidFill>
            <a:miter lim="800000"/>
            <a:headEnd/>
            <a:tailEnd/>
          </a:ln>
        </xdr:spPr>
      </xdr:sp>
      <xdr:sp macro="" textlink="">
        <xdr:nvSpPr>
          <xdr:cNvPr id="4" name="Rectangle 1">
            <a:extLst>
              <a:ext uri="{FF2B5EF4-FFF2-40B4-BE49-F238E27FC236}">
                <a16:creationId xmlns:a16="http://schemas.microsoft.com/office/drawing/2014/main" id="{00000000-0008-0000-0000-000004000000}"/>
              </a:ext>
            </a:extLst>
          </xdr:cNvPr>
          <xdr:cNvSpPr>
            <a:spLocks noChangeArrowheads="1"/>
          </xdr:cNvSpPr>
        </xdr:nvSpPr>
        <xdr:spPr bwMode="auto">
          <a:xfrm>
            <a:off x="134" y="398"/>
            <a:ext cx="48" cy="32"/>
          </a:xfrm>
          <a:prstGeom prst="rect">
            <a:avLst/>
          </a:prstGeom>
          <a:solidFill>
            <a:schemeClr val="accent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sp macro="" textlink="">
        <xdr:nvSpPr>
          <xdr:cNvPr id="5" name="Rectangle 2">
            <a:extLst>
              <a:ext uri="{FF2B5EF4-FFF2-40B4-BE49-F238E27FC236}">
                <a16:creationId xmlns:a16="http://schemas.microsoft.com/office/drawing/2014/main" id="{00000000-0008-0000-0000-000005000000}"/>
              </a:ext>
            </a:extLst>
          </xdr:cNvPr>
          <xdr:cNvSpPr>
            <a:spLocks noChangeArrowheads="1"/>
          </xdr:cNvSpPr>
        </xdr:nvSpPr>
        <xdr:spPr bwMode="auto">
          <a:xfrm>
            <a:off x="134" y="430"/>
            <a:ext cx="48" cy="31"/>
          </a:xfrm>
          <a:prstGeom prst="rect">
            <a:avLst/>
          </a:prstGeom>
          <a:solidFill>
            <a:schemeClr val="accent5">
              <a:lumMod val="40000"/>
              <a:lumOff val="60000"/>
            </a:scheme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sp macro="" textlink="">
        <xdr:nvSpPr>
          <xdr:cNvPr id="6" name="Rectangle 3">
            <a:extLst>
              <a:ext uri="{FF2B5EF4-FFF2-40B4-BE49-F238E27FC236}">
                <a16:creationId xmlns:a16="http://schemas.microsoft.com/office/drawing/2014/main" id="{00000000-0008-0000-0000-000006000000}"/>
              </a:ext>
            </a:extLst>
          </xdr:cNvPr>
          <xdr:cNvSpPr>
            <a:spLocks noChangeArrowheads="1"/>
          </xdr:cNvSpPr>
        </xdr:nvSpPr>
        <xdr:spPr bwMode="auto">
          <a:xfrm>
            <a:off x="133" y="461"/>
            <a:ext cx="48" cy="33"/>
          </a:xfrm>
          <a:prstGeom prst="rect">
            <a:avLst/>
          </a:prstGeom>
          <a:solidFill>
            <a:schemeClr val="accent4">
              <a:lumMod val="60000"/>
              <a:lumOff val="40000"/>
            </a:scheme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sp macro="" textlink="">
        <xdr:nvSpPr>
          <xdr:cNvPr id="7" name="Rectangle 4">
            <a:extLst>
              <a:ext uri="{FF2B5EF4-FFF2-40B4-BE49-F238E27FC236}">
                <a16:creationId xmlns:a16="http://schemas.microsoft.com/office/drawing/2014/main" id="{00000000-0008-0000-0000-000007000000}"/>
              </a:ext>
            </a:extLst>
          </xdr:cNvPr>
          <xdr:cNvSpPr>
            <a:spLocks noChangeArrowheads="1"/>
          </xdr:cNvSpPr>
        </xdr:nvSpPr>
        <xdr:spPr bwMode="auto">
          <a:xfrm>
            <a:off x="133" y="492"/>
            <a:ext cx="48" cy="34"/>
          </a:xfrm>
          <a:prstGeom prst="rect">
            <a:avLst/>
          </a:prstGeom>
          <a:solidFill>
            <a:srgbClr val="FF8FFF"/>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sp macro="" textlink="">
        <xdr:nvSpPr>
          <xdr:cNvPr id="8" name="Text Box 5">
            <a:extLst>
              <a:ext uri="{FF2B5EF4-FFF2-40B4-BE49-F238E27FC236}">
                <a16:creationId xmlns:a16="http://schemas.microsoft.com/office/drawing/2014/main" id="{00000000-0008-0000-0000-000008000000}"/>
              </a:ext>
            </a:extLst>
          </xdr:cNvPr>
          <xdr:cNvSpPr txBox="1">
            <a:spLocks noChangeArrowheads="1"/>
          </xdr:cNvSpPr>
        </xdr:nvSpPr>
        <xdr:spPr bwMode="auto">
          <a:xfrm>
            <a:off x="187" y="389"/>
            <a:ext cx="331" cy="142"/>
          </a:xfrm>
          <a:prstGeom prst="rect">
            <a:avLst/>
          </a:prstGeom>
          <a:solidFill>
            <a:srgbClr val="FFFFFF"/>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fr-FR" sz="1050" b="0" i="0" u="none" strike="noStrike" baseline="0">
                <a:solidFill>
                  <a:srgbClr val="000000"/>
                </a:solidFill>
                <a:latin typeface="Arial"/>
                <a:cs typeface="Arial"/>
              </a:rPr>
              <a:t>No flexibility – Any technical solution must satisfy this capability to be viable.</a:t>
            </a:r>
          </a:p>
          <a:p>
            <a:pPr algn="l" rtl="0">
              <a:defRPr sz="1000"/>
            </a:pPr>
            <a:endParaRPr lang="fr-FR" sz="1050" b="0" i="0" u="none" strike="noStrike" baseline="0">
              <a:solidFill>
                <a:srgbClr val="000000"/>
              </a:solidFill>
              <a:latin typeface="Arial"/>
              <a:cs typeface="Arial"/>
            </a:endParaRPr>
          </a:p>
          <a:p>
            <a:pPr algn="l" rtl="0">
              <a:defRPr sz="1000"/>
            </a:pPr>
            <a:r>
              <a:rPr lang="fr-FR" sz="1050" b="0" i="0" u="none" strike="noStrike" baseline="0">
                <a:solidFill>
                  <a:srgbClr val="000000"/>
                </a:solidFill>
                <a:latin typeface="Arial"/>
                <a:cs typeface="Arial"/>
              </a:rPr>
              <a:t>Some flexibility </a:t>
            </a:r>
            <a:r>
              <a:rPr lang="fr-FR" sz="1000" b="0" i="0" baseline="0">
                <a:effectLst/>
                <a:latin typeface="+mn-lt"/>
                <a:ea typeface="+mn-ea"/>
                <a:cs typeface="+mn-cs"/>
              </a:rPr>
              <a:t>–</a:t>
            </a:r>
            <a:r>
              <a:rPr lang="fr-FR" sz="1050" b="0" i="0" u="none" strike="noStrike" baseline="0">
                <a:solidFill>
                  <a:srgbClr val="000000"/>
                </a:solidFill>
                <a:latin typeface="Arial"/>
                <a:cs typeface="Arial"/>
              </a:rPr>
              <a:t> A technical solution may not fully satisfy this capability but will trade off with another requirement to make the higher capability viable.</a:t>
            </a:r>
          </a:p>
          <a:p>
            <a:pPr algn="l" rtl="0">
              <a:defRPr sz="1000"/>
            </a:pPr>
            <a:endParaRPr lang="fr-FR" sz="1050" b="0" i="0" u="none" strike="noStrike" baseline="0">
              <a:solidFill>
                <a:srgbClr val="000000"/>
              </a:solidFill>
              <a:latin typeface="Arial"/>
              <a:cs typeface="Arial"/>
            </a:endParaRPr>
          </a:p>
          <a:p>
            <a:pPr algn="l" rtl="0">
              <a:defRPr sz="1000"/>
            </a:pPr>
            <a:r>
              <a:rPr lang="fr-FR" sz="1050" b="0" i="0" u="none" strike="noStrike" baseline="0">
                <a:solidFill>
                  <a:srgbClr val="000000"/>
                </a:solidFill>
                <a:latin typeface="Arial"/>
                <a:cs typeface="Arial"/>
              </a:rPr>
              <a:t>Medium flexibility </a:t>
            </a:r>
            <a:r>
              <a:rPr lang="fr-FR" sz="1000" b="0" i="0" baseline="0">
                <a:effectLst/>
                <a:latin typeface="+mn-lt"/>
                <a:ea typeface="+mn-ea"/>
                <a:cs typeface="+mn-cs"/>
              </a:rPr>
              <a:t>–</a:t>
            </a:r>
            <a:r>
              <a:rPr lang="fr-FR" sz="1050" b="0" i="0" u="none" strike="noStrike" baseline="0">
                <a:solidFill>
                  <a:srgbClr val="000000"/>
                </a:solidFill>
                <a:latin typeface="Arial"/>
                <a:cs typeface="Arial"/>
              </a:rPr>
              <a:t> A technical solution may only partly satisfy this  capability and still be viable.</a:t>
            </a:r>
          </a:p>
          <a:p>
            <a:pPr algn="l" rtl="0">
              <a:defRPr sz="1000"/>
            </a:pPr>
            <a:endParaRPr lang="fr-FR" sz="1050" b="0" i="0" u="none" strike="noStrike" baseline="0">
              <a:solidFill>
                <a:srgbClr val="000000"/>
              </a:solidFill>
              <a:latin typeface="Arial"/>
              <a:cs typeface="Arial"/>
            </a:endParaRPr>
          </a:p>
          <a:p>
            <a:pPr algn="l" rtl="0">
              <a:defRPr sz="1000"/>
            </a:pPr>
            <a:r>
              <a:rPr lang="fr-FR" sz="1050" b="0" i="0" u="none" strike="noStrike" baseline="0">
                <a:solidFill>
                  <a:srgbClr val="000000"/>
                </a:solidFill>
                <a:latin typeface="Arial"/>
                <a:cs typeface="Arial"/>
              </a:rPr>
              <a:t>High flexibility </a:t>
            </a:r>
            <a:r>
              <a:rPr lang="fr-FR" sz="1000" b="0" i="0" baseline="0">
                <a:effectLst/>
                <a:latin typeface="+mn-lt"/>
                <a:ea typeface="+mn-ea"/>
                <a:cs typeface="+mn-cs"/>
              </a:rPr>
              <a:t>–</a:t>
            </a:r>
            <a:r>
              <a:rPr lang="fr-FR" sz="1050" b="0" i="0" u="none" strike="noStrike" baseline="0">
                <a:solidFill>
                  <a:srgbClr val="000000"/>
                </a:solidFill>
                <a:latin typeface="Arial"/>
                <a:cs typeface="Arial"/>
              </a:rPr>
              <a:t> A technical solution may not satisfy this capability and still be viable.</a:t>
            </a:r>
          </a:p>
        </xdr:txBody>
      </xdr:sp>
      <xdr:sp macro="" textlink="">
        <xdr:nvSpPr>
          <xdr:cNvPr id="9" name="Text Box 7">
            <a:extLst>
              <a:ext uri="{FF2B5EF4-FFF2-40B4-BE49-F238E27FC236}">
                <a16:creationId xmlns:a16="http://schemas.microsoft.com/office/drawing/2014/main" id="{00000000-0008-0000-0000-000009000000}"/>
              </a:ext>
            </a:extLst>
          </xdr:cNvPr>
          <xdr:cNvSpPr txBox="1">
            <a:spLocks noChangeArrowheads="1"/>
          </xdr:cNvSpPr>
        </xdr:nvSpPr>
        <xdr:spPr bwMode="auto">
          <a:xfrm>
            <a:off x="135" y="366"/>
            <a:ext cx="313" cy="20"/>
          </a:xfrm>
          <a:prstGeom prst="rect">
            <a:avLst/>
          </a:prstGeom>
          <a:solidFill>
            <a:srgbClr val="FFFFFF"/>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fr-FR" sz="1050" b="1" i="0" u="none" strike="noStrike" baseline="0">
                <a:solidFill>
                  <a:srgbClr val="000000"/>
                </a:solidFill>
                <a:latin typeface="Arial"/>
                <a:cs typeface="Arial"/>
              </a:rPr>
              <a:t>Flexibility in How the Capabilities Must Be Satisfied</a:t>
            </a: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Vaughn Liles, Amy" id="{4FF27735-38FF-4E43-9580-92586262879A}" userId="S::avaughn@nrel.gov::9a0bfced-e484-41b4-b791-5ea54904d05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15" dT="2020-03-15T17:19:59.99" personId="{4FF27735-38FF-4E43-9580-92586262879A}" id="{87CDED5D-3910-4C02-936A-00FB1E5736E1}">
    <text>Missing final content.</text>
  </threadedComment>
  <threadedComment ref="I16" dT="2020-03-15T17:30:27.38" personId="{4FF27735-38FF-4E43-9580-92586262879A}" id="{E321AB1A-C8CC-4291-927E-B2557C4A3478}">
    <text>Missing final content.</text>
  </threadedComment>
  <threadedComment ref="C17" dT="2020-03-15T17:31:16.99" personId="{4FF27735-38FF-4E43-9580-92586262879A}" id="{D0932EE7-412F-419A-B1EC-CFAF65209132}">
    <text>Missing section summary text.</text>
  </threadedComment>
  <threadedComment ref="C21" dT="2020-03-15T17:47:56.92" personId="{4FF27735-38FF-4E43-9580-92586262879A}" id="{2E9B2A76-FA86-46DD-878C-9ABC9745598E}">
    <text>Missing section summary text.</text>
  </threadedComment>
  <threadedComment ref="E37" dT="2020-03-12T20:57:37.38" personId="{4FF27735-38FF-4E43-9580-92586262879A}" id="{B47F54DE-61C0-49B3-8533-2D6F669E03CE}">
    <text>Missing summary text.</text>
  </threadedComment>
  <threadedComment ref="A44" dT="2020-03-12T20:57:47.42" personId="{4FF27735-38FF-4E43-9580-92586262879A}" id="{4AA2ADF2-BF7C-4B2B-B999-45482C1EB57B}">
    <text>Missing summary text.</text>
  </threadedComment>
  <threadedComment ref="I47" dT="2020-03-16T18:18:13.76" personId="{4FF27735-38FF-4E43-9580-92586262879A}" id="{2910FF4D-E281-4269-A2DC-37B02F204478}">
    <text>No background text?</text>
  </threadedComment>
  <threadedComment ref="I51" dT="2020-03-16T18:40:13.29" personId="{4FF27735-38FF-4E43-9580-92586262879A}" id="{9E2D4835-E682-48A0-9E17-CF35C5171650}">
    <text>No supporting background?</text>
  </threadedComment>
  <threadedComment ref="A59" dT="2020-03-12T20:57:54.19" personId="{4FF27735-38FF-4E43-9580-92586262879A}" id="{7766ABA4-1D91-4E8C-9FB4-DC6705A8DC90}">
    <text>Missing summary text.</text>
  </threadedComment>
</ThreadedComments>
</file>

<file path=xl/threadedComments/threadedComment2.xml><?xml version="1.0" encoding="utf-8"?>
<ThreadedComments xmlns="http://schemas.microsoft.com/office/spreadsheetml/2018/threadedcomments" xmlns:x="http://schemas.openxmlformats.org/spreadsheetml/2006/main">
  <threadedComment ref="B4" dT="2020-03-16T20:34:06.24" personId="{4FF27735-38FF-4E43-9580-92586262879A}" id="{257370F0-7F17-470F-A1A6-943D2D886C27}">
    <text>Why the out-of-order numbering in this section?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E3" dT="2020-03-16T21:53:57.09" personId="{4FF27735-38FF-4E43-9580-92586262879A}" id="{AC0FAE8E-62DB-4FB8-BDCC-56AE54A95E82}">
    <text>Missing summary text.</text>
  </threadedComment>
</ThreadedComments>
</file>

<file path=xl/threadedComments/threadedComment4.xml><?xml version="1.0" encoding="utf-8"?>
<ThreadedComments xmlns="http://schemas.microsoft.com/office/spreadsheetml/2018/threadedcomments" xmlns:x="http://schemas.openxmlformats.org/spreadsheetml/2006/main">
  <threadedComment ref="E7" dT="2020-03-17T14:36:12.65" personId="{4FF27735-38FF-4E43-9580-92586262879A}" id="{A06F47BD-EF5D-47FD-ACC3-77188EB66B49}">
    <text>Is this FTE or FTE years? Question and options conflict.</text>
  </threadedComment>
  <threadedComment ref="E10" dT="2020-03-17T14:52:51.11" personId="{4FF27735-38FF-4E43-9580-92586262879A}" id="{8CF8184E-6EB7-45FD-B30E-2D3511182326}">
    <text>Should Low be more than 3?</text>
  </threadedComment>
</ThreadedComments>
</file>

<file path=xl/threadedComments/threadedComment5.xml><?xml version="1.0" encoding="utf-8"?>
<ThreadedComments xmlns="http://schemas.microsoft.com/office/spreadsheetml/2018/threadedcomments" xmlns:x="http://schemas.openxmlformats.org/spreadsheetml/2006/main">
  <threadedComment ref="E9" dT="2020-03-17T14:53:09.29" personId="{4FF27735-38FF-4E43-9580-92586262879A}" id="{FAB73362-5417-466C-A811-5B4B3A048C0E}">
    <text>Missing section summary text.</text>
  </threadedComment>
</ThreadedComments>
</file>

<file path=xl/threadedComments/threadedComment6.xml><?xml version="1.0" encoding="utf-8"?>
<ThreadedComments xmlns="http://schemas.microsoft.com/office/spreadsheetml/2018/threadedcomments" xmlns:x="http://schemas.openxmlformats.org/spreadsheetml/2006/main">
  <threadedComment ref="E3" dT="2020-03-17T20:24:00.81" personId="{4FF27735-38FF-4E43-9580-92586262879A}" id="{54FD65E6-5F1C-414E-A0D9-090BB5763130}">
    <text>Missing section description.</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O14"/>
  <sheetViews>
    <sheetView workbookViewId="0">
      <selection activeCell="K32" sqref="K32"/>
    </sheetView>
  </sheetViews>
  <sheetFormatPr defaultColWidth="8.81640625" defaultRowHeight="14.5" x14ac:dyDescent="0.35"/>
  <sheetData>
    <row r="1" spans="1:15" x14ac:dyDescent="0.35">
      <c r="A1" s="209" t="s">
        <v>159</v>
      </c>
      <c r="B1" s="209"/>
      <c r="C1" s="209"/>
      <c r="D1" s="209"/>
      <c r="E1" s="209"/>
      <c r="F1" s="209"/>
      <c r="G1" s="209"/>
      <c r="H1" s="209"/>
      <c r="I1" s="209"/>
      <c r="J1" s="209"/>
      <c r="K1" s="209"/>
      <c r="L1" s="209"/>
      <c r="M1" s="209"/>
      <c r="N1" s="209"/>
      <c r="O1" s="209"/>
    </row>
    <row r="2" spans="1:15" x14ac:dyDescent="0.35">
      <c r="A2" s="209"/>
      <c r="B2" s="209"/>
      <c r="C2" s="209"/>
      <c r="D2" s="209"/>
      <c r="E2" s="209"/>
      <c r="F2" s="209"/>
      <c r="G2" s="209"/>
      <c r="H2" s="209"/>
      <c r="I2" s="209"/>
      <c r="J2" s="209"/>
      <c r="K2" s="209"/>
      <c r="L2" s="209"/>
      <c r="M2" s="209"/>
      <c r="N2" s="209"/>
      <c r="O2" s="209"/>
    </row>
    <row r="3" spans="1:15" x14ac:dyDescent="0.35">
      <c r="A3" s="209"/>
      <c r="B3" s="209"/>
      <c r="C3" s="209"/>
      <c r="D3" s="209"/>
      <c r="E3" s="209"/>
      <c r="F3" s="209"/>
      <c r="G3" s="209"/>
      <c r="H3" s="209"/>
      <c r="I3" s="209"/>
      <c r="J3" s="209"/>
      <c r="K3" s="209"/>
      <c r="L3" s="209"/>
      <c r="M3" s="209"/>
      <c r="N3" s="209"/>
      <c r="O3" s="209"/>
    </row>
    <row r="4" spans="1:15" x14ac:dyDescent="0.35">
      <c r="A4" s="209"/>
      <c r="B4" s="209"/>
      <c r="C4" s="209"/>
      <c r="D4" s="209"/>
      <c r="E4" s="209"/>
      <c r="F4" s="209"/>
      <c r="G4" s="209"/>
      <c r="H4" s="209"/>
      <c r="I4" s="209"/>
      <c r="J4" s="209"/>
      <c r="K4" s="209"/>
      <c r="L4" s="209"/>
      <c r="M4" s="209"/>
      <c r="N4" s="209"/>
      <c r="O4" s="209"/>
    </row>
    <row r="5" spans="1:15" x14ac:dyDescent="0.35">
      <c r="A5" s="209"/>
      <c r="B5" s="209"/>
      <c r="C5" s="209"/>
      <c r="D5" s="209"/>
      <c r="E5" s="209"/>
      <c r="F5" s="209"/>
      <c r="G5" s="209"/>
      <c r="H5" s="209"/>
      <c r="I5" s="209"/>
      <c r="J5" s="209"/>
      <c r="K5" s="209"/>
      <c r="L5" s="209"/>
      <c r="M5" s="209"/>
      <c r="N5" s="209"/>
      <c r="O5" s="209"/>
    </row>
    <row r="6" spans="1:15" x14ac:dyDescent="0.35">
      <c r="A6" s="209"/>
      <c r="B6" s="209"/>
      <c r="C6" s="209"/>
      <c r="D6" s="209"/>
      <c r="E6" s="209"/>
      <c r="F6" s="209"/>
      <c r="G6" s="209"/>
      <c r="H6" s="209"/>
      <c r="I6" s="209"/>
      <c r="J6" s="209"/>
      <c r="K6" s="209"/>
      <c r="L6" s="209"/>
      <c r="M6" s="209"/>
      <c r="N6" s="209"/>
      <c r="O6" s="209"/>
    </row>
    <row r="7" spans="1:15" x14ac:dyDescent="0.35">
      <c r="A7" s="209"/>
      <c r="B7" s="209"/>
      <c r="C7" s="209"/>
      <c r="D7" s="209"/>
      <c r="E7" s="209"/>
      <c r="F7" s="209"/>
      <c r="G7" s="209"/>
      <c r="H7" s="209"/>
      <c r="I7" s="209"/>
      <c r="J7" s="209"/>
      <c r="K7" s="209"/>
      <c r="L7" s="209"/>
      <c r="M7" s="209"/>
      <c r="N7" s="209"/>
      <c r="O7" s="209"/>
    </row>
    <row r="8" spans="1:15" x14ac:dyDescent="0.35">
      <c r="A8" s="209"/>
      <c r="B8" s="209"/>
      <c r="C8" s="209"/>
      <c r="D8" s="209"/>
      <c r="E8" s="209"/>
      <c r="F8" s="209"/>
      <c r="G8" s="209"/>
      <c r="H8" s="209"/>
      <c r="I8" s="209"/>
      <c r="J8" s="209"/>
      <c r="K8" s="209"/>
      <c r="L8" s="209"/>
      <c r="M8" s="209"/>
      <c r="N8" s="209"/>
      <c r="O8" s="209"/>
    </row>
    <row r="9" spans="1:15" x14ac:dyDescent="0.35">
      <c r="A9" s="209"/>
      <c r="B9" s="209"/>
      <c r="C9" s="209"/>
      <c r="D9" s="209"/>
      <c r="E9" s="209"/>
      <c r="F9" s="209"/>
      <c r="G9" s="209"/>
      <c r="H9" s="209"/>
      <c r="I9" s="209"/>
      <c r="J9" s="209"/>
      <c r="K9" s="209"/>
      <c r="L9" s="209"/>
      <c r="M9" s="209"/>
      <c r="N9" s="209"/>
      <c r="O9" s="209"/>
    </row>
    <row r="10" spans="1:15" x14ac:dyDescent="0.35">
      <c r="A10" s="209"/>
      <c r="B10" s="209"/>
      <c r="C10" s="209"/>
      <c r="D10" s="209"/>
      <c r="E10" s="209"/>
      <c r="F10" s="209"/>
      <c r="G10" s="209"/>
      <c r="H10" s="209"/>
      <c r="I10" s="209"/>
      <c r="J10" s="209"/>
      <c r="K10" s="209"/>
      <c r="L10" s="209"/>
      <c r="M10" s="209"/>
      <c r="N10" s="209"/>
      <c r="O10" s="209"/>
    </row>
    <row r="11" spans="1:15" x14ac:dyDescent="0.35">
      <c r="A11" s="209"/>
      <c r="B11" s="209"/>
      <c r="C11" s="209"/>
      <c r="D11" s="209"/>
      <c r="E11" s="209"/>
      <c r="F11" s="209"/>
      <c r="G11" s="209"/>
      <c r="H11" s="209"/>
      <c r="I11" s="209"/>
      <c r="J11" s="209"/>
      <c r="K11" s="209"/>
      <c r="L11" s="209"/>
      <c r="M11" s="209"/>
      <c r="N11" s="209"/>
      <c r="O11" s="209"/>
    </row>
    <row r="12" spans="1:15" x14ac:dyDescent="0.35">
      <c r="A12" s="209"/>
      <c r="B12" s="209"/>
      <c r="C12" s="209"/>
      <c r="D12" s="209"/>
      <c r="E12" s="209"/>
      <c r="F12" s="209"/>
      <c r="G12" s="209"/>
      <c r="H12" s="209"/>
      <c r="I12" s="209"/>
      <c r="J12" s="209"/>
      <c r="K12" s="209"/>
      <c r="L12" s="209"/>
      <c r="M12" s="209"/>
      <c r="N12" s="209"/>
      <c r="O12" s="209"/>
    </row>
    <row r="13" spans="1:15" x14ac:dyDescent="0.35">
      <c r="A13" s="209"/>
      <c r="B13" s="209"/>
      <c r="C13" s="209"/>
      <c r="D13" s="209"/>
      <c r="E13" s="209"/>
      <c r="F13" s="209"/>
      <c r="G13" s="209"/>
      <c r="H13" s="209"/>
      <c r="I13" s="209"/>
      <c r="J13" s="209"/>
      <c r="K13" s="209"/>
      <c r="L13" s="209"/>
      <c r="M13" s="209"/>
      <c r="N13" s="209"/>
      <c r="O13" s="209"/>
    </row>
    <row r="14" spans="1:15" x14ac:dyDescent="0.35">
      <c r="A14" s="209"/>
      <c r="B14" s="209"/>
      <c r="C14" s="209"/>
      <c r="D14" s="209"/>
      <c r="E14" s="209"/>
      <c r="F14" s="209"/>
      <c r="G14" s="209"/>
      <c r="H14" s="209"/>
      <c r="I14" s="209"/>
      <c r="J14" s="209"/>
      <c r="K14" s="209"/>
      <c r="L14" s="209"/>
      <c r="M14" s="209"/>
      <c r="N14" s="209"/>
      <c r="O14" s="209"/>
    </row>
  </sheetData>
  <mergeCells count="1">
    <mergeCell ref="A1:O14"/>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61"/>
  <sheetViews>
    <sheetView topLeftCell="A23" zoomScale="80" zoomScaleNormal="80" workbookViewId="0">
      <selection activeCell="D34" sqref="D34"/>
    </sheetView>
  </sheetViews>
  <sheetFormatPr defaultColWidth="8.81640625" defaultRowHeight="26" x14ac:dyDescent="0.35"/>
  <cols>
    <col min="1" max="1" width="9.08984375" style="3"/>
    <col min="2" max="2" width="10.36328125" style="1" customWidth="1"/>
    <col min="3" max="3" width="12.453125" style="1" customWidth="1"/>
    <col min="4" max="4" width="52.81640625" style="1" customWidth="1"/>
    <col min="5" max="5" width="9.08984375" style="4"/>
    <col min="6" max="6" width="12.453125" style="4" bestFit="1" customWidth="1"/>
    <col min="7" max="7" width="9.08984375" style="5" bestFit="1" customWidth="1"/>
    <col min="8" max="8" width="11.6328125" style="9" customWidth="1"/>
    <col min="9" max="9" width="11.453125" customWidth="1"/>
    <col min="10" max="10" width="14.453125" style="11" customWidth="1"/>
    <col min="11" max="11" width="8.81640625" style="15" hidden="1" customWidth="1"/>
    <col min="12" max="12" width="21" style="7" bestFit="1" customWidth="1"/>
    <col min="13" max="13" width="75.453125" style="8" customWidth="1"/>
    <col min="14" max="14" width="7.453125" customWidth="1"/>
    <col min="16" max="16" width="48.453125" customWidth="1"/>
    <col min="17" max="17" width="6.453125" customWidth="1"/>
    <col min="18" max="18" width="7.08984375" customWidth="1"/>
  </cols>
  <sheetData>
    <row r="1" spans="1:24" ht="26.5" thickBot="1" x14ac:dyDescent="0.4">
      <c r="A1" s="18" t="s">
        <v>63</v>
      </c>
    </row>
    <row r="2" spans="1:24" s="16" customFormat="1" ht="46.5" thickBot="1" x14ac:dyDescent="1.05">
      <c r="A2" s="262" t="s">
        <v>54</v>
      </c>
      <c r="B2" s="263"/>
      <c r="C2" s="263"/>
      <c r="D2" s="263"/>
      <c r="E2" s="264"/>
      <c r="F2" s="24"/>
      <c r="G2" s="25"/>
      <c r="H2" s="26"/>
      <c r="I2" s="246" t="s">
        <v>83</v>
      </c>
      <c r="J2" s="247"/>
      <c r="K2" s="247"/>
      <c r="L2" s="248"/>
      <c r="M2" s="153" t="s">
        <v>156</v>
      </c>
      <c r="P2" s="154"/>
    </row>
    <row r="3" spans="1:24" s="17" customFormat="1" ht="40.5" customHeight="1" thickBot="1" x14ac:dyDescent="0.4">
      <c r="A3" s="27"/>
      <c r="B3" s="229" t="s">
        <v>48</v>
      </c>
      <c r="C3" s="229"/>
      <c r="D3" s="230"/>
      <c r="E3" s="28">
        <f>0.7*(Market_C1*Attractive_C2*Global_C7)^(1/3)+0.1*(Grid_C3*Beneficial_C4)^(1/2)+0.2*(Permit_C5*J46)^(1/2)</f>
        <v>1</v>
      </c>
      <c r="F3" s="210" t="str">
        <f>IF(K3=0,"All Thresholds OK",IF(K3=1,"1 Threshold Breached",CONCATENATE(K3," Thresholds Breached")))</f>
        <v>20 Thresholds Breached</v>
      </c>
      <c r="G3" s="210"/>
      <c r="K3" s="29">
        <f>SUM(K4:K14)</f>
        <v>20</v>
      </c>
      <c r="P3" s="155"/>
    </row>
    <row r="4" spans="1:24" s="17" customFormat="1" ht="17.25" customHeight="1" x14ac:dyDescent="0.35">
      <c r="A4" s="30" t="s">
        <v>10</v>
      </c>
      <c r="B4" s="231" t="s">
        <v>4</v>
      </c>
      <c r="C4" s="232"/>
      <c r="D4" s="233"/>
      <c r="E4" s="31">
        <f>Market_C1</f>
        <v>1</v>
      </c>
      <c r="F4" s="16"/>
      <c r="G4" s="16"/>
      <c r="K4" s="32"/>
      <c r="M4" s="18" t="s">
        <v>62</v>
      </c>
      <c r="P4" s="155"/>
    </row>
    <row r="5" spans="1:24" s="17" customFormat="1" ht="17.25" customHeight="1" x14ac:dyDescent="0.35">
      <c r="A5" s="33" t="s">
        <v>11</v>
      </c>
      <c r="B5" s="34"/>
      <c r="C5" s="234" t="s">
        <v>160</v>
      </c>
      <c r="D5" s="235"/>
      <c r="E5" s="35">
        <f>CAPEX</f>
        <v>1</v>
      </c>
      <c r="F5" s="210" t="str">
        <f>IF(K5=0,"All Thresholds OK",IF(K5=1,"1 Threshold Breached",CONCATENATE(K5," Thresholds Breached")))</f>
        <v>4 Thresholds Breached</v>
      </c>
      <c r="G5" s="210"/>
      <c r="K5" s="32">
        <f>SUM(K19:K22)</f>
        <v>4</v>
      </c>
      <c r="M5" s="36" t="s">
        <v>61</v>
      </c>
      <c r="P5" s="161"/>
    </row>
    <row r="6" spans="1:24" s="17" customFormat="1" ht="17.25" customHeight="1" x14ac:dyDescent="0.35">
      <c r="A6" s="33" t="s">
        <v>12</v>
      </c>
      <c r="B6" s="34"/>
      <c r="C6" s="236" t="s">
        <v>5</v>
      </c>
      <c r="D6" s="237"/>
      <c r="E6" s="35">
        <f>OPEX</f>
        <v>1</v>
      </c>
      <c r="F6" s="210" t="str">
        <f>IF(K6=0,"All Thresholds OK",IF(K6=1,"1 Threshold Breached",CONCATENATE(K6," Thresholds Breached")))</f>
        <v>2 Thresholds Breached</v>
      </c>
      <c r="G6" s="210"/>
      <c r="K6" s="32">
        <f>SUM(K24:K25)</f>
        <v>2</v>
      </c>
      <c r="M6" s="36" t="s">
        <v>158</v>
      </c>
    </row>
    <row r="7" spans="1:24" s="17" customFormat="1" ht="17.25" customHeight="1" x14ac:dyDescent="0.35">
      <c r="A7" s="33" t="s">
        <v>13</v>
      </c>
      <c r="B7" s="34"/>
      <c r="C7" s="243" t="s">
        <v>161</v>
      </c>
      <c r="D7" s="237"/>
      <c r="E7" s="35">
        <f>Generate</f>
        <v>1</v>
      </c>
      <c r="F7" s="210" t="str">
        <f>IF(K7=0,"All Thresholds OK",IF(K7=1,"1 Threshold Breached",CONCATENATE(K7," Thresholds Breached")))</f>
        <v>2 Thresholds Breached</v>
      </c>
      <c r="G7" s="210"/>
      <c r="K7" s="32">
        <f>SUM(K27:K28)</f>
        <v>2</v>
      </c>
      <c r="M7" s="18" t="s">
        <v>157</v>
      </c>
    </row>
    <row r="8" spans="1:24" s="17" customFormat="1" ht="17.25" customHeight="1" thickBot="1" x14ac:dyDescent="0.4">
      <c r="A8" s="33" t="s">
        <v>16</v>
      </c>
      <c r="B8" s="34"/>
      <c r="C8" s="244" t="s">
        <v>6</v>
      </c>
      <c r="D8" s="245"/>
      <c r="E8" s="35">
        <f>Available</f>
        <v>1</v>
      </c>
      <c r="F8" s="210" t="str">
        <f>IF(K8=0,"All Thresholds OK",IF(K8=1,"1 Threshold Breached",CONCATENATE(K8," Thresholds Breached")))</f>
        <v>1 Threshold Breached</v>
      </c>
      <c r="G8" s="210"/>
      <c r="K8" s="32">
        <f>SUM(K30:K30)</f>
        <v>1</v>
      </c>
      <c r="L8" s="18"/>
    </row>
    <row r="9" spans="1:24" s="17" customFormat="1" ht="17.25" customHeight="1" thickBot="1" x14ac:dyDescent="0.4">
      <c r="A9" s="37" t="s">
        <v>18</v>
      </c>
      <c r="B9" s="231" t="s">
        <v>36</v>
      </c>
      <c r="C9" s="232"/>
      <c r="D9" s="233"/>
      <c r="E9" s="35">
        <f>Attractive_C2</f>
        <v>1</v>
      </c>
      <c r="F9" s="210" t="str">
        <f>IF(K9=0,"All Thresholds OK",IF(K9=1,"1 Threshold Breached",CONCATENATE(K9," Thresholds Breached")))</f>
        <v>4 Thresholds Breached</v>
      </c>
      <c r="G9" s="210"/>
      <c r="K9" s="32">
        <f>SUM(K33:K36)</f>
        <v>4</v>
      </c>
      <c r="L9" s="38"/>
      <c r="M9" s="36"/>
    </row>
    <row r="10" spans="1:24" s="18" customFormat="1" ht="17.25" customHeight="1" thickBot="1" x14ac:dyDescent="0.4">
      <c r="A10" s="37" t="s">
        <v>20</v>
      </c>
      <c r="B10" s="231" t="s">
        <v>1</v>
      </c>
      <c r="C10" s="241"/>
      <c r="D10" s="242"/>
      <c r="E10" s="39">
        <f>Grid_C3</f>
        <v>1</v>
      </c>
      <c r="F10" s="210" t="str">
        <f t="shared" ref="F10:F14" si="0">IF(K10=0,"All Thresholds OK",IF(K10=1,"1 Threshold Breached",CONCATENATE(K10," Thresholds Breached")))</f>
        <v>1 Threshold Breached</v>
      </c>
      <c r="G10" s="210"/>
      <c r="K10" s="40">
        <f>SUM(K37:K38)</f>
        <v>1</v>
      </c>
      <c r="L10" s="38"/>
      <c r="M10" s="36"/>
      <c r="N10" s="16"/>
      <c r="O10" s="16"/>
      <c r="P10" s="16"/>
      <c r="Q10" s="16"/>
      <c r="R10" s="16"/>
      <c r="S10" s="16"/>
      <c r="T10" s="16"/>
      <c r="U10" s="16"/>
    </row>
    <row r="11" spans="1:24" s="18" customFormat="1" ht="17.25" customHeight="1" thickBot="1" x14ac:dyDescent="0.4">
      <c r="A11" s="37" t="s">
        <v>21</v>
      </c>
      <c r="B11" s="231" t="s">
        <v>2</v>
      </c>
      <c r="C11" s="241"/>
      <c r="D11" s="242"/>
      <c r="E11" s="39">
        <f>Beneficial_C4</f>
        <v>1</v>
      </c>
      <c r="F11" s="210" t="str">
        <f t="shared" si="0"/>
        <v>2 Thresholds Breached</v>
      </c>
      <c r="G11" s="210"/>
      <c r="K11" s="40">
        <f>SUM(K39:K41)</f>
        <v>2</v>
      </c>
      <c r="L11" s="38"/>
      <c r="M11" s="36"/>
      <c r="N11" s="16"/>
      <c r="O11" s="16"/>
      <c r="P11" s="16"/>
      <c r="Q11" s="16"/>
      <c r="R11" s="16"/>
      <c r="S11" s="16"/>
      <c r="T11" s="16"/>
      <c r="U11" s="16"/>
      <c r="X11" s="20"/>
    </row>
    <row r="12" spans="1:24" s="18" customFormat="1" ht="17.25" customHeight="1" thickBot="1" x14ac:dyDescent="0.4">
      <c r="A12" s="37" t="s">
        <v>24</v>
      </c>
      <c r="B12" s="231" t="s">
        <v>3</v>
      </c>
      <c r="C12" s="241"/>
      <c r="D12" s="242"/>
      <c r="E12" s="39">
        <f>Permit_C5</f>
        <v>1</v>
      </c>
      <c r="F12" s="210" t="str">
        <f t="shared" si="0"/>
        <v>2 Thresholds Breached</v>
      </c>
      <c r="G12" s="210"/>
      <c r="K12" s="40">
        <f>SUM(K42:K45)</f>
        <v>2</v>
      </c>
      <c r="L12" s="38"/>
      <c r="M12" s="36"/>
      <c r="N12" s="16"/>
      <c r="O12" s="16"/>
      <c r="P12" s="16"/>
      <c r="Q12" s="16"/>
      <c r="R12" s="16"/>
      <c r="S12" s="16"/>
      <c r="T12" s="16"/>
      <c r="U12" s="16"/>
    </row>
    <row r="13" spans="1:24" s="18" customFormat="1" ht="17.25" customHeight="1" thickBot="1" x14ac:dyDescent="0.4">
      <c r="A13" s="41" t="s">
        <v>27</v>
      </c>
      <c r="B13" s="238" t="s">
        <v>0</v>
      </c>
      <c r="C13" s="239"/>
      <c r="D13" s="240"/>
      <c r="E13" s="39">
        <f>J46</f>
        <v>1</v>
      </c>
      <c r="F13" s="210" t="str">
        <f t="shared" si="0"/>
        <v>1 Threshold Breached</v>
      </c>
      <c r="G13" s="210"/>
      <c r="K13" s="32">
        <f>SUM(K46)</f>
        <v>1</v>
      </c>
      <c r="L13" s="38"/>
      <c r="M13" s="36"/>
      <c r="N13" s="19"/>
      <c r="O13" s="19"/>
      <c r="P13" s="19"/>
      <c r="Q13" s="19"/>
      <c r="R13" s="19"/>
      <c r="S13" s="19"/>
      <c r="T13" s="19"/>
      <c r="U13" s="19"/>
    </row>
    <row r="14" spans="1:24" s="18" customFormat="1" ht="17.25" customHeight="1" thickBot="1" x14ac:dyDescent="0.4">
      <c r="A14" s="42" t="s">
        <v>28</v>
      </c>
      <c r="B14" s="211" t="s">
        <v>7</v>
      </c>
      <c r="C14" s="212"/>
      <c r="D14" s="213"/>
      <c r="E14" s="43">
        <f>J54</f>
        <v>1</v>
      </c>
      <c r="F14" s="210" t="str">
        <f t="shared" si="0"/>
        <v>1 Threshold Breached</v>
      </c>
      <c r="G14" s="210"/>
      <c r="K14" s="32">
        <f>SUM(K54)</f>
        <v>1</v>
      </c>
      <c r="L14" s="38"/>
      <c r="M14" s="36"/>
    </row>
    <row r="15" spans="1:24" s="18" customFormat="1" ht="33" customHeight="1" thickBot="1" x14ac:dyDescent="0.4">
      <c r="A15" s="17"/>
      <c r="B15" s="44"/>
      <c r="C15" s="44"/>
      <c r="D15" s="44"/>
      <c r="E15" s="17"/>
      <c r="F15" s="17"/>
      <c r="G15" s="17"/>
      <c r="H15" s="17"/>
      <c r="I15" s="17"/>
      <c r="J15" s="45"/>
      <c r="K15" s="46"/>
      <c r="L15" s="47"/>
      <c r="M15" s="36"/>
    </row>
    <row r="16" spans="1:24" s="2" customFormat="1" ht="42.5" thickBot="1" x14ac:dyDescent="0.4">
      <c r="A16" s="226" t="s">
        <v>50</v>
      </c>
      <c r="B16" s="227"/>
      <c r="C16" s="227"/>
      <c r="D16" s="228"/>
      <c r="E16" s="48" t="s">
        <v>51</v>
      </c>
      <c r="F16" s="49" t="s">
        <v>45</v>
      </c>
      <c r="G16" s="50" t="s">
        <v>29</v>
      </c>
      <c r="H16" s="51" t="s">
        <v>44</v>
      </c>
      <c r="I16" s="50" t="s">
        <v>58</v>
      </c>
      <c r="J16" s="52" t="s">
        <v>52</v>
      </c>
      <c r="K16" s="53"/>
      <c r="L16" s="54" t="s">
        <v>8</v>
      </c>
      <c r="M16" s="55" t="s">
        <v>53</v>
      </c>
    </row>
    <row r="17" spans="1:13" s="2" customFormat="1" ht="45" customHeight="1" x14ac:dyDescent="0.35">
      <c r="A17" s="56" t="s">
        <v>10</v>
      </c>
      <c r="B17" s="249" t="s">
        <v>107</v>
      </c>
      <c r="C17" s="272"/>
      <c r="D17" s="273"/>
      <c r="E17" s="57"/>
      <c r="F17" s="58"/>
      <c r="G17" s="59"/>
      <c r="H17" s="60"/>
      <c r="I17" s="61"/>
      <c r="J17" s="124">
        <f>((1/((0.7/CAPEX)+(0.3/OPEX)))*(Generate)*(Available))^(1/3)</f>
        <v>1</v>
      </c>
      <c r="K17" s="62"/>
      <c r="L17" s="63"/>
      <c r="M17" s="64" t="s">
        <v>55</v>
      </c>
    </row>
    <row r="18" spans="1:13" s="2" customFormat="1" ht="33" customHeight="1" x14ac:dyDescent="0.35">
      <c r="A18" s="65" t="s">
        <v>11</v>
      </c>
      <c r="B18" s="66"/>
      <c r="C18" s="214" t="s">
        <v>100</v>
      </c>
      <c r="D18" s="215"/>
      <c r="E18" s="21"/>
      <c r="F18" s="67" t="s">
        <v>45</v>
      </c>
      <c r="G18" s="68" t="s">
        <v>29</v>
      </c>
      <c r="H18" s="69" t="s">
        <v>44</v>
      </c>
      <c r="I18" s="70"/>
      <c r="J18" s="71">
        <f>SUM(I19:I22)</f>
        <v>1</v>
      </c>
      <c r="K18" s="72"/>
      <c r="L18" s="73"/>
      <c r="M18" s="74" t="s">
        <v>56</v>
      </c>
    </row>
    <row r="19" spans="1:13" s="2" customFormat="1" ht="33" customHeight="1" x14ac:dyDescent="0.35">
      <c r="A19" s="65" t="s">
        <v>30</v>
      </c>
      <c r="B19" s="66"/>
      <c r="C19" s="75"/>
      <c r="D19" s="76" t="s">
        <v>96</v>
      </c>
      <c r="E19" s="12">
        <f>'Cost of Energy'!I4</f>
        <v>1</v>
      </c>
      <c r="F19" s="6">
        <v>4</v>
      </c>
      <c r="G19" s="77">
        <v>20</v>
      </c>
      <c r="H19" s="78">
        <f>G19/SUM(G$19:G$22)</f>
        <v>0.36363636363636365</v>
      </c>
      <c r="I19" s="163">
        <f>E19*H19</f>
        <v>0.36363636363636365</v>
      </c>
      <c r="J19" s="79"/>
      <c r="K19" s="80">
        <f>IF(E19&lt;F19,1,0)</f>
        <v>1</v>
      </c>
      <c r="L19" s="81" t="str">
        <f t="shared" ref="L19:L54" si="1">IF(E19&lt;F19,"Threshold Breached", "Threshold OK")</f>
        <v>Threshold Breached</v>
      </c>
      <c r="M19" s="82"/>
    </row>
    <row r="20" spans="1:13" s="2" customFormat="1" ht="33" customHeight="1" x14ac:dyDescent="0.35">
      <c r="A20" s="65" t="s">
        <v>31</v>
      </c>
      <c r="B20" s="66"/>
      <c r="C20" s="75"/>
      <c r="D20" s="83" t="s">
        <v>97</v>
      </c>
      <c r="E20" s="12">
        <f>'Cost of Energy'!I24</f>
        <v>1</v>
      </c>
      <c r="F20" s="6">
        <v>4</v>
      </c>
      <c r="G20" s="77">
        <v>20</v>
      </c>
      <c r="H20" s="78">
        <f t="shared" ref="H20:H22" si="2">G20/SUM(G$19:G$22)</f>
        <v>0.36363636363636365</v>
      </c>
      <c r="I20" s="163">
        <f t="shared" ref="I20:I25" si="3">E20*H20</f>
        <v>0.36363636363636365</v>
      </c>
      <c r="J20" s="79"/>
      <c r="K20" s="80">
        <f t="shared" ref="K20:K22" si="4">IF(E20&lt;F20,1,0)</f>
        <v>1</v>
      </c>
      <c r="L20" s="81" t="str">
        <f t="shared" si="1"/>
        <v>Threshold Breached</v>
      </c>
      <c r="M20" s="82"/>
    </row>
    <row r="21" spans="1:13" s="2" customFormat="1" ht="33" customHeight="1" x14ac:dyDescent="0.35">
      <c r="A21" s="65" t="s">
        <v>32</v>
      </c>
      <c r="B21" s="66"/>
      <c r="C21" s="75"/>
      <c r="D21" s="83" t="s">
        <v>98</v>
      </c>
      <c r="E21" s="12">
        <f>'Cost of Energy'!I29</f>
        <v>1</v>
      </c>
      <c r="F21" s="6">
        <v>4</v>
      </c>
      <c r="G21" s="77">
        <v>5</v>
      </c>
      <c r="H21" s="78">
        <f t="shared" si="2"/>
        <v>9.0909090909090912E-2</v>
      </c>
      <c r="I21" s="163">
        <f t="shared" si="3"/>
        <v>9.0909090909090912E-2</v>
      </c>
      <c r="J21" s="79"/>
      <c r="K21" s="80">
        <f t="shared" si="4"/>
        <v>1</v>
      </c>
      <c r="L21" s="81" t="str">
        <f t="shared" si="1"/>
        <v>Threshold Breached</v>
      </c>
      <c r="M21" s="82"/>
    </row>
    <row r="22" spans="1:13" s="2" customFormat="1" ht="33" customHeight="1" x14ac:dyDescent="0.35">
      <c r="A22" s="65" t="s">
        <v>33</v>
      </c>
      <c r="B22" s="66"/>
      <c r="C22" s="75"/>
      <c r="D22" s="83" t="s">
        <v>99</v>
      </c>
      <c r="E22" s="12">
        <f>'Cost of Energy'!I31</f>
        <v>1</v>
      </c>
      <c r="F22" s="6">
        <v>4</v>
      </c>
      <c r="G22" s="77">
        <v>10</v>
      </c>
      <c r="H22" s="78">
        <f t="shared" si="2"/>
        <v>0.18181818181818182</v>
      </c>
      <c r="I22" s="163">
        <f t="shared" si="3"/>
        <v>0.18181818181818182</v>
      </c>
      <c r="J22" s="79"/>
      <c r="K22" s="80">
        <f t="shared" si="4"/>
        <v>1</v>
      </c>
      <c r="L22" s="81" t="str">
        <f t="shared" si="1"/>
        <v>Threshold Breached</v>
      </c>
      <c r="M22" s="84"/>
    </row>
    <row r="23" spans="1:13" s="2" customFormat="1" ht="33" customHeight="1" x14ac:dyDescent="0.35">
      <c r="A23" s="65" t="s">
        <v>12</v>
      </c>
      <c r="B23" s="66"/>
      <c r="C23" s="216" t="s">
        <v>101</v>
      </c>
      <c r="D23" s="217"/>
      <c r="E23" s="21"/>
      <c r="F23" s="67" t="s">
        <v>45</v>
      </c>
      <c r="G23" s="68" t="s">
        <v>29</v>
      </c>
      <c r="H23" s="69" t="s">
        <v>44</v>
      </c>
      <c r="I23" s="70"/>
      <c r="J23" s="71">
        <f>I24+I25</f>
        <v>1</v>
      </c>
      <c r="K23" s="72"/>
      <c r="L23" s="73"/>
      <c r="M23" s="85" t="s">
        <v>57</v>
      </c>
    </row>
    <row r="24" spans="1:13" s="2" customFormat="1" ht="33" customHeight="1" x14ac:dyDescent="0.35">
      <c r="A24" s="65" t="s">
        <v>34</v>
      </c>
      <c r="B24" s="66"/>
      <c r="C24" s="274"/>
      <c r="D24" s="83" t="s">
        <v>365</v>
      </c>
      <c r="E24" s="12">
        <f>'Cost of Energy'!I38</f>
        <v>1</v>
      </c>
      <c r="F24" s="6">
        <v>4</v>
      </c>
      <c r="G24" s="77">
        <v>7</v>
      </c>
      <c r="H24" s="78">
        <f>G24/SUM(G$24:G$25)</f>
        <v>0.7</v>
      </c>
      <c r="I24" s="163">
        <f t="shared" si="3"/>
        <v>0.7</v>
      </c>
      <c r="J24" s="79"/>
      <c r="K24" s="80">
        <f>IF(E24&lt;F24,1,0)</f>
        <v>1</v>
      </c>
      <c r="L24" s="81" t="str">
        <f t="shared" si="1"/>
        <v>Threshold Breached</v>
      </c>
      <c r="M24" s="82"/>
    </row>
    <row r="25" spans="1:13" s="2" customFormat="1" ht="33" customHeight="1" x14ac:dyDescent="0.35">
      <c r="A25" s="65" t="s">
        <v>35</v>
      </c>
      <c r="B25" s="66"/>
      <c r="C25" s="275"/>
      <c r="D25" s="86" t="s">
        <v>103</v>
      </c>
      <c r="E25" s="12">
        <f>'Cost of Energy'!I41</f>
        <v>1</v>
      </c>
      <c r="F25" s="6">
        <v>4</v>
      </c>
      <c r="G25" s="77">
        <v>3</v>
      </c>
      <c r="H25" s="78">
        <f>G25/SUM(G$24:G$25)</f>
        <v>0.3</v>
      </c>
      <c r="I25" s="163">
        <f t="shared" si="3"/>
        <v>0.3</v>
      </c>
      <c r="J25" s="79"/>
      <c r="K25" s="80">
        <f>IF(E25&lt;F25,1,0)</f>
        <v>1</v>
      </c>
      <c r="L25" s="81" t="str">
        <f t="shared" si="1"/>
        <v>Threshold Breached</v>
      </c>
      <c r="M25" s="82"/>
    </row>
    <row r="26" spans="1:13" s="2" customFormat="1" ht="33" customHeight="1" x14ac:dyDescent="0.35">
      <c r="A26" s="65" t="s">
        <v>13</v>
      </c>
      <c r="B26" s="66"/>
      <c r="C26" s="219" t="s">
        <v>102</v>
      </c>
      <c r="D26" s="217"/>
      <c r="E26" s="21"/>
      <c r="F26" s="67" t="s">
        <v>45</v>
      </c>
      <c r="G26" s="87"/>
      <c r="H26" s="88"/>
      <c r="I26" s="70"/>
      <c r="J26" s="71">
        <f>SQRT(E27*E28)</f>
        <v>1</v>
      </c>
      <c r="K26" s="72"/>
      <c r="L26" s="73"/>
      <c r="M26" s="85" t="s">
        <v>46</v>
      </c>
    </row>
    <row r="27" spans="1:13" s="2" customFormat="1" ht="33" customHeight="1" x14ac:dyDescent="0.35">
      <c r="A27" s="65" t="s">
        <v>14</v>
      </c>
      <c r="B27" s="66"/>
      <c r="C27" s="89"/>
      <c r="D27" s="76" t="s">
        <v>104</v>
      </c>
      <c r="E27" s="12">
        <f>'Cost of Energy'!I45</f>
        <v>1</v>
      </c>
      <c r="F27" s="6">
        <v>4</v>
      </c>
      <c r="G27" s="7"/>
      <c r="H27" s="78"/>
      <c r="J27" s="79"/>
      <c r="K27" s="80">
        <f>IF(E27&lt;F27,1,0)</f>
        <v>1</v>
      </c>
      <c r="L27" s="81" t="str">
        <f t="shared" si="1"/>
        <v>Threshold Breached</v>
      </c>
      <c r="M27" s="82"/>
    </row>
    <row r="28" spans="1:13" s="2" customFormat="1" ht="33" customHeight="1" x14ac:dyDescent="0.35">
      <c r="A28" s="65" t="s">
        <v>15</v>
      </c>
      <c r="B28" s="66"/>
      <c r="C28" s="89"/>
      <c r="D28" s="90" t="s">
        <v>105</v>
      </c>
      <c r="E28" s="12">
        <f>'Cost of Energy'!I52</f>
        <v>1</v>
      </c>
      <c r="F28" s="6">
        <v>4</v>
      </c>
      <c r="G28" s="7"/>
      <c r="H28" s="78"/>
      <c r="J28" s="79"/>
      <c r="K28" s="80">
        <f>IF(E28&lt;F28,1,0)</f>
        <v>1</v>
      </c>
      <c r="L28" s="81" t="str">
        <f t="shared" si="1"/>
        <v>Threshold Breached</v>
      </c>
      <c r="M28" s="82"/>
    </row>
    <row r="29" spans="1:13" s="2" customFormat="1" ht="33" customHeight="1" x14ac:dyDescent="0.35">
      <c r="A29" s="65" t="s">
        <v>16</v>
      </c>
      <c r="B29" s="66"/>
      <c r="C29" s="219" t="s">
        <v>106</v>
      </c>
      <c r="D29" s="217"/>
      <c r="E29" s="21"/>
      <c r="F29" s="67" t="s">
        <v>45</v>
      </c>
      <c r="G29" s="68" t="s">
        <v>29</v>
      </c>
      <c r="H29" s="69" t="s">
        <v>44</v>
      </c>
      <c r="I29" s="68" t="s">
        <v>49</v>
      </c>
      <c r="J29" s="71">
        <f>SUM(I30:I30)</f>
        <v>1</v>
      </c>
      <c r="K29" s="72"/>
      <c r="L29" s="73"/>
      <c r="M29" s="85" t="s">
        <v>47</v>
      </c>
    </row>
    <row r="30" spans="1:13" s="2" customFormat="1" ht="33" customHeight="1" thickBot="1" x14ac:dyDescent="0.4">
      <c r="A30" s="65" t="s">
        <v>17</v>
      </c>
      <c r="B30" s="91"/>
      <c r="C30" s="89"/>
      <c r="D30" s="92" t="s">
        <v>106</v>
      </c>
      <c r="E30" s="12">
        <f>'Cost of Energy'!I60</f>
        <v>1</v>
      </c>
      <c r="F30" s="6">
        <v>4</v>
      </c>
      <c r="G30" s="77">
        <v>5</v>
      </c>
      <c r="H30" s="78">
        <f>G30/SUM(G$30:G$30)</f>
        <v>1</v>
      </c>
      <c r="I30" s="93">
        <f>H30*E30</f>
        <v>1</v>
      </c>
      <c r="J30" s="94"/>
      <c r="K30" s="80">
        <f>IF(E30&lt;F30,1,0)</f>
        <v>1</v>
      </c>
      <c r="L30" s="81" t="str">
        <f t="shared" si="1"/>
        <v>Threshold Breached</v>
      </c>
      <c r="M30" s="82"/>
    </row>
    <row r="31" spans="1:13" s="2" customFormat="1" ht="33" customHeight="1" x14ac:dyDescent="0.35">
      <c r="A31" s="100" t="s">
        <v>18</v>
      </c>
      <c r="B31" s="223" t="s">
        <v>110</v>
      </c>
      <c r="C31" s="224"/>
      <c r="D31" s="225"/>
      <c r="E31" s="22"/>
      <c r="F31" s="101"/>
      <c r="G31" s="102"/>
      <c r="H31" s="103"/>
      <c r="I31" s="104"/>
      <c r="J31" s="105">
        <f>J32</f>
        <v>1</v>
      </c>
      <c r="K31" s="106"/>
      <c r="L31" s="107"/>
      <c r="M31" s="108" t="s">
        <v>43</v>
      </c>
    </row>
    <row r="32" spans="1:13" s="2" customFormat="1" ht="33" customHeight="1" x14ac:dyDescent="0.35">
      <c r="A32" s="100" t="s">
        <v>19</v>
      </c>
      <c r="B32" s="66"/>
      <c r="C32" s="112" t="s">
        <v>110</v>
      </c>
      <c r="D32" s="113"/>
      <c r="E32" s="21"/>
      <c r="F32" s="67" t="s">
        <v>45</v>
      </c>
      <c r="G32" s="87"/>
      <c r="H32" s="88"/>
      <c r="I32" s="70"/>
      <c r="J32" s="71">
        <f>((I33+I34)*E35*E36)^(1/3)</f>
        <v>1</v>
      </c>
      <c r="K32" s="72"/>
      <c r="L32" s="73"/>
      <c r="M32" s="85" t="s">
        <v>64</v>
      </c>
    </row>
    <row r="33" spans="1:23" s="2" customFormat="1" x14ac:dyDescent="0.35">
      <c r="A33" s="100" t="s">
        <v>37</v>
      </c>
      <c r="B33" s="66"/>
      <c r="C33" s="89"/>
      <c r="D33" s="116" t="s">
        <v>108</v>
      </c>
      <c r="E33" s="12">
        <f>'Investment Opportunity'!I4</f>
        <v>1</v>
      </c>
      <c r="F33" s="6">
        <v>4</v>
      </c>
      <c r="G33" s="7">
        <v>7</v>
      </c>
      <c r="H33" s="78">
        <f>G33/SUM(G$24:G$25)</f>
        <v>0.7</v>
      </c>
      <c r="I33" s="163">
        <f t="shared" ref="I33:I34" si="5">E33*H33</f>
        <v>0.7</v>
      </c>
      <c r="J33" s="79"/>
      <c r="K33" s="80">
        <f>IF(E33&lt;F33,1,0)</f>
        <v>1</v>
      </c>
      <c r="L33" s="81" t="str">
        <f t="shared" si="1"/>
        <v>Threshold Breached</v>
      </c>
      <c r="M33" s="82"/>
    </row>
    <row r="34" spans="1:23" s="2" customFormat="1" x14ac:dyDescent="0.35">
      <c r="A34" s="100" t="s">
        <v>38</v>
      </c>
      <c r="B34" s="66"/>
      <c r="C34" s="89"/>
      <c r="D34" s="110" t="s">
        <v>109</v>
      </c>
      <c r="E34" s="12">
        <f>'Investment Opportunity'!I8</f>
        <v>1</v>
      </c>
      <c r="F34" s="6">
        <v>4</v>
      </c>
      <c r="G34" s="7">
        <v>3</v>
      </c>
      <c r="H34" s="78">
        <f>G34/SUM(G$24:G$25)</f>
        <v>0.3</v>
      </c>
      <c r="I34" s="163">
        <f t="shared" si="5"/>
        <v>0.3</v>
      </c>
      <c r="J34" s="79"/>
      <c r="K34" s="80">
        <f t="shared" ref="K34:K36" si="6">IF(E34&lt;F34,1,0)</f>
        <v>1</v>
      </c>
      <c r="L34" s="81" t="str">
        <f t="shared" si="1"/>
        <v>Threshold Breached</v>
      </c>
      <c r="M34" s="82"/>
    </row>
    <row r="35" spans="1:23" s="2" customFormat="1" ht="33" customHeight="1" x14ac:dyDescent="0.35">
      <c r="A35" s="100" t="s">
        <v>39</v>
      </c>
      <c r="B35" s="66"/>
      <c r="C35" s="89"/>
      <c r="D35" s="117" t="s">
        <v>111</v>
      </c>
      <c r="E35" s="12">
        <f>'Investment Opportunity'!I12</f>
        <v>1</v>
      </c>
      <c r="F35" s="6">
        <v>4</v>
      </c>
      <c r="G35" s="7"/>
      <c r="H35" s="78"/>
      <c r="J35" s="79"/>
      <c r="K35" s="80">
        <f t="shared" si="6"/>
        <v>1</v>
      </c>
      <c r="L35" s="81" t="str">
        <f t="shared" si="1"/>
        <v>Threshold Breached</v>
      </c>
      <c r="M35" s="82"/>
    </row>
    <row r="36" spans="1:23" s="2" customFormat="1" ht="33" customHeight="1" thickBot="1" x14ac:dyDescent="0.4">
      <c r="A36" s="100" t="s">
        <v>40</v>
      </c>
      <c r="B36" s="66"/>
      <c r="C36" s="89"/>
      <c r="D36" s="137" t="s">
        <v>112</v>
      </c>
      <c r="E36" s="12">
        <f>'Investment Opportunity'!I14</f>
        <v>1</v>
      </c>
      <c r="F36" s="6">
        <v>4</v>
      </c>
      <c r="G36" s="7"/>
      <c r="H36" s="78"/>
      <c r="J36" s="79"/>
      <c r="K36" s="80">
        <f t="shared" si="6"/>
        <v>1</v>
      </c>
      <c r="L36" s="81" t="str">
        <f t="shared" si="1"/>
        <v>Threshold Breached</v>
      </c>
      <c r="M36" s="82"/>
    </row>
    <row r="37" spans="1:23" ht="29" x14ac:dyDescent="0.35">
      <c r="A37" s="121" t="s">
        <v>20</v>
      </c>
      <c r="B37" s="249" t="s">
        <v>115</v>
      </c>
      <c r="C37" s="250"/>
      <c r="D37" s="251"/>
      <c r="E37" s="22"/>
      <c r="F37" s="122" t="s">
        <v>45</v>
      </c>
      <c r="G37" s="122" t="s">
        <v>29</v>
      </c>
      <c r="H37" s="122" t="s">
        <v>44</v>
      </c>
      <c r="I37" s="123" t="s">
        <v>58</v>
      </c>
      <c r="J37" s="124">
        <f>E38</f>
        <v>1</v>
      </c>
      <c r="K37" s="62"/>
      <c r="L37" s="63"/>
      <c r="M37" s="64" t="s">
        <v>59</v>
      </c>
      <c r="N37" s="10"/>
      <c r="O37" s="10"/>
      <c r="P37" s="2"/>
      <c r="Q37" s="2"/>
      <c r="R37" s="2"/>
      <c r="S37" s="2"/>
      <c r="T37" s="2"/>
      <c r="U37" s="2"/>
      <c r="V37" s="2"/>
      <c r="W37" s="2"/>
    </row>
    <row r="38" spans="1:23" ht="26.5" thickBot="1" x14ac:dyDescent="0.4">
      <c r="A38" s="100" t="s">
        <v>60</v>
      </c>
      <c r="B38" s="125"/>
      <c r="C38" s="219" t="s">
        <v>116</v>
      </c>
      <c r="D38" s="217"/>
      <c r="E38" s="12">
        <f>'Grid Operations'!I4</f>
        <v>1</v>
      </c>
      <c r="F38" s="77">
        <v>3</v>
      </c>
      <c r="G38" s="77">
        <v>1</v>
      </c>
      <c r="H38" s="78">
        <f>G38/SUM(G$38:G$38)</f>
        <v>1</v>
      </c>
      <c r="I38" s="93">
        <f t="shared" ref="I38" si="7">H38*E38</f>
        <v>1</v>
      </c>
      <c r="J38" s="126"/>
      <c r="K38" s="80">
        <f>IF(E38&lt;F38,1,0)</f>
        <v>1</v>
      </c>
      <c r="L38" s="81" t="str">
        <f t="shared" ref="L38" si="8">IF(E38&lt;F38,"Threshold Breached", "Threshold OK")</f>
        <v>Threshold Breached</v>
      </c>
      <c r="M38" s="82"/>
      <c r="N38" s="10"/>
      <c r="O38" s="10"/>
      <c r="P38" s="2"/>
      <c r="Q38" s="2"/>
      <c r="R38" s="2"/>
      <c r="S38" s="2"/>
      <c r="T38" s="2"/>
      <c r="U38" s="2"/>
      <c r="V38" s="2"/>
      <c r="W38" s="2"/>
    </row>
    <row r="39" spans="1:23" ht="29" x14ac:dyDescent="0.35">
      <c r="A39" s="121" t="s">
        <v>21</v>
      </c>
      <c r="B39" s="255" t="s">
        <v>113</v>
      </c>
      <c r="C39" s="256"/>
      <c r="D39" s="257"/>
      <c r="E39" s="22"/>
      <c r="F39" s="122" t="s">
        <v>45</v>
      </c>
      <c r="G39" s="122" t="s">
        <v>29</v>
      </c>
      <c r="H39" s="122" t="s">
        <v>44</v>
      </c>
      <c r="I39" s="123" t="s">
        <v>58</v>
      </c>
      <c r="J39" s="124">
        <f>SUM(I40:I41)</f>
        <v>1</v>
      </c>
      <c r="K39" s="62"/>
      <c r="L39" s="63"/>
      <c r="M39" s="64" t="s">
        <v>42</v>
      </c>
    </row>
    <row r="40" spans="1:23" x14ac:dyDescent="0.35">
      <c r="A40" s="100" t="s">
        <v>22</v>
      </c>
      <c r="B40" s="91"/>
      <c r="C40" s="258" t="s">
        <v>117</v>
      </c>
      <c r="D40" s="259"/>
      <c r="E40" s="12">
        <f>'Beneficial to Society'!I4</f>
        <v>1</v>
      </c>
      <c r="F40" s="6">
        <v>3</v>
      </c>
      <c r="G40" s="77">
        <v>1</v>
      </c>
      <c r="H40" s="78">
        <f>G40/SUM(G$40:G$41)</f>
        <v>0.5</v>
      </c>
      <c r="I40" s="93">
        <f>H40*E40</f>
        <v>0.5</v>
      </c>
      <c r="J40" s="94"/>
      <c r="K40" s="80">
        <f>IF(E40&lt;F40,1,0)</f>
        <v>1</v>
      </c>
      <c r="L40" s="81" t="str">
        <f t="shared" si="1"/>
        <v>Threshold Breached</v>
      </c>
      <c r="M40" s="82"/>
    </row>
    <row r="41" spans="1:23" ht="26.5" thickBot="1" x14ac:dyDescent="0.4">
      <c r="A41" s="100" t="s">
        <v>23</v>
      </c>
      <c r="B41" s="66"/>
      <c r="C41" s="260" t="s">
        <v>162</v>
      </c>
      <c r="D41" s="261"/>
      <c r="E41" s="12">
        <f>'Beneficial to Society'!I9</f>
        <v>1</v>
      </c>
      <c r="F41" s="6">
        <v>4</v>
      </c>
      <c r="G41" s="77">
        <v>1</v>
      </c>
      <c r="H41" s="78">
        <f>G41/SUM(G$40:G$41)</f>
        <v>0.5</v>
      </c>
      <c r="I41" s="93">
        <f t="shared" ref="I41" si="9">H41*E41</f>
        <v>0.5</v>
      </c>
      <c r="J41" s="94"/>
      <c r="K41" s="80">
        <f t="shared" ref="K41" si="10">IF(E41&lt;F41,1,0)</f>
        <v>1</v>
      </c>
      <c r="L41" s="81" t="str">
        <f t="shared" si="1"/>
        <v>Threshold Breached</v>
      </c>
      <c r="M41" s="82"/>
    </row>
    <row r="42" spans="1:23" x14ac:dyDescent="0.35">
      <c r="A42" s="121" t="s">
        <v>24</v>
      </c>
      <c r="B42" s="249" t="s">
        <v>114</v>
      </c>
      <c r="C42" s="250"/>
      <c r="D42" s="251"/>
      <c r="E42" s="23"/>
      <c r="F42" s="122" t="s">
        <v>45</v>
      </c>
      <c r="G42" s="122"/>
      <c r="H42" s="122"/>
      <c r="I42" s="61"/>
      <c r="J42" s="124">
        <f>(E43*E44*E45)^(1/3)</f>
        <v>1</v>
      </c>
      <c r="K42" s="62"/>
      <c r="L42" s="63"/>
      <c r="M42" s="64" t="s">
        <v>41</v>
      </c>
    </row>
    <row r="43" spans="1:23" x14ac:dyDescent="0.35">
      <c r="A43" s="100" t="s">
        <v>25</v>
      </c>
      <c r="B43" s="91"/>
      <c r="C43" s="268" t="s">
        <v>118</v>
      </c>
      <c r="D43" s="269"/>
      <c r="E43" s="12">
        <f>'Permitting and Certification'!I4</f>
        <v>1</v>
      </c>
      <c r="F43" s="6">
        <v>7</v>
      </c>
      <c r="G43" s="7"/>
      <c r="H43" s="78"/>
      <c r="I43" s="2"/>
      <c r="J43" s="79"/>
      <c r="K43" s="80">
        <f>IF(E43&lt;F43,1,0)</f>
        <v>1</v>
      </c>
      <c r="L43" s="81" t="str">
        <f t="shared" si="1"/>
        <v>Threshold Breached</v>
      </c>
      <c r="M43" s="82"/>
    </row>
    <row r="44" spans="1:23" ht="29" customHeight="1" x14ac:dyDescent="0.35">
      <c r="A44" s="100" t="s">
        <v>26</v>
      </c>
      <c r="B44" s="91"/>
      <c r="C44" s="221" t="s">
        <v>119</v>
      </c>
      <c r="D44" s="222"/>
      <c r="E44" s="12">
        <f>'Permitting and Certification'!I7</f>
        <v>1</v>
      </c>
      <c r="F44" s="6">
        <v>7</v>
      </c>
      <c r="G44" s="7"/>
      <c r="H44" s="78"/>
      <c r="I44" s="2"/>
      <c r="J44" s="79"/>
      <c r="K44" s="80"/>
      <c r="L44" s="81"/>
      <c r="M44" s="82"/>
    </row>
    <row r="45" spans="1:23" ht="26.5" thickBot="1" x14ac:dyDescent="0.4">
      <c r="A45" s="100" t="s">
        <v>128</v>
      </c>
      <c r="B45" s="91"/>
      <c r="C45" s="270" t="s">
        <v>120</v>
      </c>
      <c r="D45" s="271"/>
      <c r="E45" s="12">
        <f>'Permitting and Certification'!I10</f>
        <v>1</v>
      </c>
      <c r="F45" s="6">
        <v>7</v>
      </c>
      <c r="G45" s="7"/>
      <c r="H45" s="78"/>
      <c r="I45" s="2"/>
      <c r="J45" s="79"/>
      <c r="K45" s="80">
        <f t="shared" ref="K45:K54" si="11">IF(E45&lt;F45,1,0)</f>
        <v>1</v>
      </c>
      <c r="L45" s="81" t="str">
        <f t="shared" si="1"/>
        <v>Threshold Breached</v>
      </c>
      <c r="M45" s="82"/>
    </row>
    <row r="46" spans="1:23" ht="26.5" thickBot="1" x14ac:dyDescent="0.4">
      <c r="A46" s="127" t="s">
        <v>27</v>
      </c>
      <c r="B46" s="265" t="s">
        <v>163</v>
      </c>
      <c r="C46" s="266"/>
      <c r="D46" s="267"/>
      <c r="E46" s="14"/>
      <c r="F46" s="128">
        <v>7</v>
      </c>
      <c r="G46" s="129"/>
      <c r="H46" s="130"/>
      <c r="I46" s="131"/>
      <c r="J46" s="132">
        <f>(J47*J48)^(1/2)</f>
        <v>1</v>
      </c>
      <c r="K46" s="133">
        <f t="shared" si="11"/>
        <v>1</v>
      </c>
      <c r="L46" s="134" t="str">
        <f t="shared" si="1"/>
        <v>Threshold Breached</v>
      </c>
      <c r="M46" s="135"/>
    </row>
    <row r="47" spans="1:23" x14ac:dyDescent="0.35">
      <c r="A47" s="100" t="s">
        <v>121</v>
      </c>
      <c r="B47" s="66"/>
      <c r="C47" s="216" t="s">
        <v>94</v>
      </c>
      <c r="D47" s="220"/>
      <c r="E47" s="12">
        <f>' Safety and Function'!I4</f>
        <v>1</v>
      </c>
      <c r="F47" s="6">
        <v>7</v>
      </c>
      <c r="G47" s="7"/>
      <c r="H47" s="78"/>
      <c r="I47" s="2"/>
      <c r="J47" s="162">
        <f>E47</f>
        <v>1</v>
      </c>
      <c r="K47" s="80"/>
      <c r="L47" s="81"/>
      <c r="M47" s="82"/>
    </row>
    <row r="48" spans="1:23" x14ac:dyDescent="0.35">
      <c r="A48" s="100" t="s">
        <v>122</v>
      </c>
      <c r="B48" s="66"/>
      <c r="C48" s="216" t="s">
        <v>165</v>
      </c>
      <c r="D48" s="220"/>
      <c r="E48" s="21"/>
      <c r="F48" s="67" t="s">
        <v>45</v>
      </c>
      <c r="G48" s="87"/>
      <c r="H48" s="88"/>
      <c r="I48" s="70"/>
      <c r="J48" s="114">
        <f>(E49*E50*E51*E52*E53)^0.2</f>
        <v>1</v>
      </c>
      <c r="K48" s="115"/>
      <c r="L48" s="73"/>
      <c r="M48" s="85" t="s">
        <v>65</v>
      </c>
    </row>
    <row r="49" spans="1:13" ht="43.5" x14ac:dyDescent="0.35">
      <c r="A49" s="100" t="s">
        <v>123</v>
      </c>
      <c r="B49" s="66"/>
      <c r="C49" s="89"/>
      <c r="D49" s="109" t="s">
        <v>9</v>
      </c>
      <c r="E49" s="12">
        <f>' Safety and Function'!I12</f>
        <v>1</v>
      </c>
      <c r="F49" s="6">
        <v>7</v>
      </c>
      <c r="G49" s="7"/>
      <c r="H49" s="78"/>
      <c r="I49" s="2"/>
      <c r="J49" s="79"/>
      <c r="K49" s="80">
        <f>IF(E49&lt;F49,1,0)</f>
        <v>1</v>
      </c>
      <c r="L49" s="81" t="str">
        <f>IF(E49&lt;F49,"Threshold Breached", "Threshold OK")</f>
        <v>Threshold Breached</v>
      </c>
      <c r="M49" s="82"/>
    </row>
    <row r="50" spans="1:13" ht="43.5" x14ac:dyDescent="0.35">
      <c r="A50" s="100" t="s">
        <v>124</v>
      </c>
      <c r="B50" s="66"/>
      <c r="C50" s="89"/>
      <c r="D50" s="110" t="s">
        <v>166</v>
      </c>
      <c r="E50" s="12">
        <f>' Safety and Function'!I15</f>
        <v>1</v>
      </c>
      <c r="F50" s="6">
        <v>7</v>
      </c>
      <c r="G50" s="7"/>
      <c r="H50" s="78"/>
      <c r="I50" s="2"/>
      <c r="J50" s="79"/>
      <c r="K50" s="80">
        <f t="shared" ref="K50:K53" si="12">IF(E50&lt;F50,1,0)</f>
        <v>1</v>
      </c>
      <c r="L50" s="81" t="str">
        <f>IF(E50&lt;F50,"Threshold Breached", "Threshold OK")</f>
        <v>Threshold Breached</v>
      </c>
      <c r="M50" s="82"/>
    </row>
    <row r="51" spans="1:13" ht="29" x14ac:dyDescent="0.35">
      <c r="A51" s="100" t="s">
        <v>125</v>
      </c>
      <c r="B51" s="66"/>
      <c r="C51" s="89"/>
      <c r="D51" s="111" t="s">
        <v>167</v>
      </c>
      <c r="E51" s="12">
        <f>' Safety and Function'!I19</f>
        <v>1</v>
      </c>
      <c r="F51" s="6">
        <v>7</v>
      </c>
      <c r="G51" s="7"/>
      <c r="H51" s="78"/>
      <c r="I51" s="2"/>
      <c r="J51" s="79"/>
      <c r="K51" s="80">
        <f t="shared" si="12"/>
        <v>1</v>
      </c>
      <c r="L51" s="81" t="str">
        <f>IF(E51&lt;F51,"Threshold Breached", "Threshold OK")</f>
        <v>Threshold Breached</v>
      </c>
      <c r="M51" s="82"/>
    </row>
    <row r="52" spans="1:13" ht="29" x14ac:dyDescent="0.35">
      <c r="A52" s="100" t="s">
        <v>126</v>
      </c>
      <c r="B52" s="66"/>
      <c r="C52" s="89"/>
      <c r="D52" s="111" t="s">
        <v>168</v>
      </c>
      <c r="E52" s="12">
        <f>' Safety and Function'!I22</f>
        <v>1</v>
      </c>
      <c r="F52" s="6">
        <v>7</v>
      </c>
      <c r="G52" s="7"/>
      <c r="H52" s="78"/>
      <c r="I52" s="2"/>
      <c r="J52" s="79"/>
      <c r="K52" s="80">
        <f>IF(E52&lt;F52,1,0)</f>
        <v>1</v>
      </c>
      <c r="L52" s="81" t="str">
        <f>IF(E52&lt;F52,"Threshold Breached", "Threshold OK")</f>
        <v>Threshold Breached</v>
      </c>
      <c r="M52" s="82"/>
    </row>
    <row r="53" spans="1:13" ht="26.5" thickBot="1" x14ac:dyDescent="0.4">
      <c r="A53" s="100" t="s">
        <v>127</v>
      </c>
      <c r="B53" s="95"/>
      <c r="C53" s="89"/>
      <c r="D53" s="110" t="s">
        <v>66</v>
      </c>
      <c r="E53" s="13">
        <f>' Safety and Function'!I24</f>
        <v>1</v>
      </c>
      <c r="F53" s="96">
        <v>7</v>
      </c>
      <c r="G53" s="118"/>
      <c r="H53" s="97"/>
      <c r="I53" s="119"/>
      <c r="J53" s="120"/>
      <c r="K53" s="80">
        <f t="shared" si="12"/>
        <v>1</v>
      </c>
      <c r="L53" s="98" t="str">
        <f>IF(E53&lt;F53,"Threshold Breached", "Threshold OK")</f>
        <v>Threshold Breached</v>
      </c>
      <c r="M53" s="99"/>
    </row>
    <row r="54" spans="1:13" ht="26.5" thickBot="1" x14ac:dyDescent="0.4">
      <c r="A54" s="136" t="s">
        <v>28</v>
      </c>
      <c r="B54" s="252" t="s">
        <v>164</v>
      </c>
      <c r="C54" s="253"/>
      <c r="D54" s="254"/>
      <c r="E54" s="14">
        <f>Globally!I4</f>
        <v>1</v>
      </c>
      <c r="F54" s="128">
        <v>4</v>
      </c>
      <c r="G54" s="129"/>
      <c r="H54" s="130"/>
      <c r="I54" s="131"/>
      <c r="J54" s="132">
        <f>Global_C7</f>
        <v>1</v>
      </c>
      <c r="K54" s="133">
        <f t="shared" si="11"/>
        <v>1</v>
      </c>
      <c r="L54" s="134" t="str">
        <f t="shared" si="1"/>
        <v>Threshold Breached</v>
      </c>
      <c r="M54" s="135"/>
    </row>
    <row r="55" spans="1:13" x14ac:dyDescent="0.35">
      <c r="E55" s="6"/>
      <c r="I55" s="2"/>
      <c r="M55" s="10"/>
    </row>
    <row r="56" spans="1:13" ht="26" customHeight="1" x14ac:dyDescent="0.35">
      <c r="H56" s="218" t="s">
        <v>169</v>
      </c>
      <c r="I56" s="218"/>
      <c r="J56" s="218"/>
      <c r="K56" s="218"/>
      <c r="L56" s="218"/>
      <c r="M56" s="218"/>
    </row>
    <row r="57" spans="1:13" ht="26" customHeight="1" x14ac:dyDescent="0.35">
      <c r="H57" s="218"/>
      <c r="I57" s="218"/>
      <c r="J57" s="218"/>
      <c r="K57" s="218"/>
      <c r="L57" s="218"/>
      <c r="M57" s="218"/>
    </row>
    <row r="58" spans="1:13" ht="26" customHeight="1" x14ac:dyDescent="0.35">
      <c r="H58" s="218"/>
      <c r="I58" s="218"/>
      <c r="J58" s="218"/>
      <c r="K58" s="218"/>
      <c r="L58" s="218"/>
      <c r="M58" s="218"/>
    </row>
    <row r="59" spans="1:13" ht="26" customHeight="1" x14ac:dyDescent="0.35">
      <c r="H59" s="218"/>
      <c r="I59" s="218"/>
      <c r="J59" s="218"/>
      <c r="K59" s="218"/>
      <c r="L59" s="218"/>
      <c r="M59" s="218"/>
    </row>
    <row r="60" spans="1:13" ht="26" customHeight="1" x14ac:dyDescent="0.35">
      <c r="H60" s="218"/>
      <c r="I60" s="218"/>
      <c r="J60" s="218"/>
      <c r="K60" s="218"/>
      <c r="L60" s="218"/>
      <c r="M60" s="218"/>
    </row>
    <row r="61" spans="1:13" ht="26" customHeight="1" x14ac:dyDescent="0.35">
      <c r="H61" s="218"/>
      <c r="I61" s="218"/>
      <c r="J61" s="218"/>
      <c r="K61" s="218"/>
      <c r="L61" s="218"/>
      <c r="M61" s="218"/>
    </row>
  </sheetData>
  <customSheetViews>
    <customSheetView guid="{76686054-FB4D-4FEC-BFB1-B4B4AB4B4565}" scale="80" hiddenColumns="1" topLeftCell="E1">
      <selection activeCell="M2" sqref="M2"/>
      <pageMargins left="0.7" right="0.7" top="0.75" bottom="0.75" header="0.3" footer="0.3"/>
      <pageSetup paperSize="9" orientation="portrait" r:id="rId1"/>
    </customSheetView>
  </customSheetViews>
  <mergeCells count="47">
    <mergeCell ref="I2:L2"/>
    <mergeCell ref="B37:D37"/>
    <mergeCell ref="B54:D54"/>
    <mergeCell ref="B39:D39"/>
    <mergeCell ref="C40:D40"/>
    <mergeCell ref="C41:D41"/>
    <mergeCell ref="C38:D38"/>
    <mergeCell ref="C48:D48"/>
    <mergeCell ref="A2:E2"/>
    <mergeCell ref="B46:D46"/>
    <mergeCell ref="B42:D42"/>
    <mergeCell ref="C43:D43"/>
    <mergeCell ref="C45:D45"/>
    <mergeCell ref="B17:D17"/>
    <mergeCell ref="C24:C25"/>
    <mergeCell ref="C26:D26"/>
    <mergeCell ref="B3:D3"/>
    <mergeCell ref="B4:D4"/>
    <mergeCell ref="C5:D5"/>
    <mergeCell ref="C6:D6"/>
    <mergeCell ref="B13:D13"/>
    <mergeCell ref="B12:D12"/>
    <mergeCell ref="B10:D10"/>
    <mergeCell ref="B11:D11"/>
    <mergeCell ref="C7:D7"/>
    <mergeCell ref="C8:D8"/>
    <mergeCell ref="B9:D9"/>
    <mergeCell ref="B14:D14"/>
    <mergeCell ref="C18:D18"/>
    <mergeCell ref="C23:D23"/>
    <mergeCell ref="H56:M61"/>
    <mergeCell ref="F12:G12"/>
    <mergeCell ref="F13:G13"/>
    <mergeCell ref="F14:G14"/>
    <mergeCell ref="C29:D29"/>
    <mergeCell ref="C47:D47"/>
    <mergeCell ref="C44:D44"/>
    <mergeCell ref="B31:D31"/>
    <mergeCell ref="A16:D16"/>
    <mergeCell ref="F3:G3"/>
    <mergeCell ref="F10:G10"/>
    <mergeCell ref="F11:G11"/>
    <mergeCell ref="F5:G5"/>
    <mergeCell ref="F6:G6"/>
    <mergeCell ref="F7:G7"/>
    <mergeCell ref="F8:G8"/>
    <mergeCell ref="F9:G9"/>
  </mergeCells>
  <conditionalFormatting sqref="A1 L62:L1048576 L9:L55">
    <cfRule type="cellIs" dxfId="3" priority="38" operator="equal">
      <formula>"Threshold Breached"</formula>
    </cfRule>
  </conditionalFormatting>
  <conditionalFormatting sqref="E19:E22 E24:E25 E27:E28 E30 E33:E36 E43 E38 E49:E54 E40:E41 E45:E47 E3:E14">
    <cfRule type="cellIs" priority="37" operator="equal">
      <formula>"1 OR 2 OR 3"</formula>
    </cfRule>
  </conditionalFormatting>
  <conditionalFormatting sqref="E19:E22 E24:E25 E27:E28 E30 E33:E36 E43 E38 E49:E54 E40:E41 E45:E47 E3:E14">
    <cfRule type="colorScale" priority="36">
      <colorScale>
        <cfvo type="num" val="1"/>
        <cfvo type="num" val="5"/>
        <cfvo type="num" val="9"/>
        <color rgb="FFFF0000"/>
        <color rgb="FFFFC000"/>
        <color rgb="FF00B050"/>
      </colorScale>
    </cfRule>
  </conditionalFormatting>
  <conditionalFormatting sqref="F3 F5:F14">
    <cfRule type="cellIs" dxfId="2" priority="15" operator="notEqual">
      <formula>"All Thresholds OK"</formula>
    </cfRule>
  </conditionalFormatting>
  <conditionalFormatting sqref="E44">
    <cfRule type="cellIs" priority="2" operator="equal">
      <formula>"1 OR 2 OR 3"</formula>
    </cfRule>
  </conditionalFormatting>
  <conditionalFormatting sqref="E44">
    <cfRule type="colorScale" priority="1">
      <colorScale>
        <cfvo type="num" val="1"/>
        <cfvo type="num" val="5"/>
        <cfvo type="num" val="9"/>
        <color rgb="FFFF0000"/>
        <color rgb="FFFFC000"/>
        <color rgb="FF00B050"/>
      </colorScale>
    </cfRule>
  </conditionalFormatting>
  <dataValidations count="2">
    <dataValidation type="whole" showInputMessage="1" showErrorMessage="1" sqref="E23 E26 E29 E31:E32 E48 E37 E39 E42" xr:uid="{00000000-0002-0000-0100-000000000000}">
      <formula1>1</formula1>
      <formula2>9</formula2>
    </dataValidation>
    <dataValidation type="decimal" showInputMessage="1" showErrorMessage="1" sqref="E19:E22 E24:E25 E27:E28 E30 E33:E36 E38 E40:E41 E49:E54 E43:E47" xr:uid="{00000000-0002-0000-0100-000002000000}">
      <formula1>0</formula1>
      <formula2>9</formula2>
    </dataValidation>
  </dataValidation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64"/>
  <sheetViews>
    <sheetView tabSelected="1" topLeftCell="A48" zoomScale="90" zoomScaleNormal="90" workbookViewId="0">
      <selection activeCell="D85" sqref="D85"/>
    </sheetView>
  </sheetViews>
  <sheetFormatPr defaultColWidth="8.81640625" defaultRowHeight="14.5" x14ac:dyDescent="0.35"/>
  <cols>
    <col min="1" max="1" width="5.36328125" customWidth="1"/>
    <col min="2" max="2" width="6.453125" customWidth="1"/>
    <col min="3" max="3" width="5.453125" customWidth="1"/>
    <col min="4" max="5" width="75.453125" customWidth="1"/>
    <col min="6" max="6" width="12" customWidth="1"/>
    <col min="7" max="8" width="14.453125" customWidth="1"/>
    <col min="9" max="9" width="66.36328125" style="156" customWidth="1"/>
    <col min="11" max="14" width="12.6328125" customWidth="1"/>
    <col min="15" max="15" width="12.36328125" bestFit="1" customWidth="1"/>
    <col min="16" max="17" width="12.6328125" customWidth="1"/>
    <col min="19" max="19" width="17.6328125" customWidth="1"/>
  </cols>
  <sheetData>
    <row r="1" spans="1:19" ht="23.5" x14ac:dyDescent="0.55000000000000004">
      <c r="A1" s="141"/>
      <c r="B1" s="141"/>
      <c r="C1" s="141"/>
      <c r="D1" s="140" t="s">
        <v>68</v>
      </c>
      <c r="E1" s="140" t="s">
        <v>70</v>
      </c>
      <c r="F1" s="140" t="s">
        <v>69</v>
      </c>
      <c r="G1" s="140" t="s">
        <v>84</v>
      </c>
      <c r="H1" s="140" t="s">
        <v>85</v>
      </c>
      <c r="I1" s="157" t="s">
        <v>138</v>
      </c>
      <c r="J1" s="141"/>
    </row>
    <row r="2" spans="1:19" ht="95" customHeight="1" thickBot="1" x14ac:dyDescent="0.6">
      <c r="A2" s="145"/>
      <c r="B2" s="145"/>
      <c r="C2" s="145"/>
      <c r="D2" s="146"/>
      <c r="E2" s="146"/>
      <c r="F2" s="147" t="s">
        <v>171</v>
      </c>
      <c r="G2" s="147" t="s">
        <v>172</v>
      </c>
      <c r="H2" s="147" t="s">
        <v>170</v>
      </c>
      <c r="I2" s="158"/>
      <c r="J2" s="141"/>
    </row>
    <row r="3" spans="1:19" ht="55.5" customHeight="1" thickTop="1" x14ac:dyDescent="0.55000000000000004">
      <c r="A3" s="278" t="s">
        <v>173</v>
      </c>
      <c r="B3" s="279"/>
      <c r="C3" s="279"/>
      <c r="D3" s="279"/>
      <c r="E3" s="288" t="s">
        <v>174</v>
      </c>
      <c r="F3" s="288"/>
      <c r="G3" s="288"/>
      <c r="H3" s="288"/>
      <c r="I3" s="288"/>
      <c r="J3" s="141"/>
      <c r="K3" s="176"/>
      <c r="L3" s="176"/>
      <c r="M3" s="176"/>
      <c r="N3" s="176"/>
      <c r="O3" s="176"/>
      <c r="P3" s="176"/>
      <c r="Q3" s="176"/>
      <c r="R3" s="176"/>
    </row>
    <row r="4" spans="1:19" ht="57.65" customHeight="1" x14ac:dyDescent="0.35">
      <c r="A4" s="138"/>
      <c r="B4" s="284" t="s">
        <v>175</v>
      </c>
      <c r="C4" s="285"/>
      <c r="D4" s="285"/>
      <c r="E4" s="285"/>
      <c r="F4" s="167"/>
      <c r="G4" s="167"/>
      <c r="H4" s="167"/>
      <c r="I4" s="170">
        <f>AVERAGEIF(H5:H23,"&gt;0")</f>
        <v>1</v>
      </c>
      <c r="J4" s="141"/>
    </row>
    <row r="5" spans="1:19" s="180" customFormat="1" ht="180.65" customHeight="1" x14ac:dyDescent="0.35">
      <c r="A5" s="184"/>
      <c r="B5" s="185"/>
      <c r="C5" s="280" t="s">
        <v>186</v>
      </c>
      <c r="D5" s="281"/>
      <c r="E5" s="206" t="s">
        <v>369</v>
      </c>
      <c r="F5" s="187">
        <v>1</v>
      </c>
      <c r="G5" s="188">
        <v>1</v>
      </c>
      <c r="H5" s="189">
        <f>F5*G5</f>
        <v>1</v>
      </c>
      <c r="I5" s="190" t="s">
        <v>187</v>
      </c>
      <c r="J5" s="191"/>
      <c r="K5" s="192"/>
      <c r="L5" s="192"/>
      <c r="M5" s="193"/>
      <c r="N5" s="194"/>
      <c r="O5" s="192"/>
      <c r="P5" s="192"/>
      <c r="Q5" s="192"/>
    </row>
    <row r="6" spans="1:19" ht="56.4" customHeight="1" x14ac:dyDescent="0.35">
      <c r="A6" s="138"/>
      <c r="B6" s="149"/>
      <c r="C6" s="289" t="s">
        <v>189</v>
      </c>
      <c r="D6" s="290"/>
      <c r="E6" s="290"/>
      <c r="F6" s="172"/>
      <c r="G6" s="172"/>
      <c r="H6" s="172"/>
      <c r="I6" s="173"/>
      <c r="J6" s="141"/>
      <c r="K6" s="175"/>
      <c r="L6" s="175"/>
      <c r="M6" s="177"/>
      <c r="N6" s="178"/>
      <c r="O6" s="175"/>
      <c r="P6" s="175"/>
      <c r="Q6" s="175"/>
    </row>
    <row r="7" spans="1:19" s="180" customFormat="1" ht="103.25" customHeight="1" x14ac:dyDescent="0.35">
      <c r="A7" s="184"/>
      <c r="B7" s="185"/>
      <c r="C7" s="195"/>
      <c r="D7" s="196" t="s">
        <v>190</v>
      </c>
      <c r="E7" s="206" t="s">
        <v>370</v>
      </c>
      <c r="F7" s="187">
        <v>1</v>
      </c>
      <c r="G7" s="188">
        <v>1</v>
      </c>
      <c r="H7" s="189">
        <f>F7*G7</f>
        <v>1</v>
      </c>
      <c r="I7" s="190" t="s">
        <v>191</v>
      </c>
      <c r="J7" s="191"/>
      <c r="K7" s="192"/>
      <c r="L7" s="192"/>
      <c r="M7" s="193"/>
      <c r="N7" s="194"/>
      <c r="O7" s="192"/>
      <c r="P7" s="192"/>
      <c r="Q7" s="192"/>
    </row>
    <row r="8" spans="1:19" s="180" customFormat="1" ht="131.4" customHeight="1" x14ac:dyDescent="0.35">
      <c r="A8" s="184"/>
      <c r="B8" s="185"/>
      <c r="C8" s="197"/>
      <c r="D8" s="196" t="s">
        <v>198</v>
      </c>
      <c r="E8" s="186" t="s">
        <v>371</v>
      </c>
      <c r="F8" s="187">
        <v>1</v>
      </c>
      <c r="G8" s="188">
        <v>1</v>
      </c>
      <c r="H8" s="189">
        <f>F8*G8</f>
        <v>1</v>
      </c>
      <c r="I8" s="198" t="s">
        <v>192</v>
      </c>
      <c r="J8" s="191"/>
      <c r="K8" s="192"/>
      <c r="L8" s="192"/>
      <c r="M8" s="193"/>
      <c r="N8" s="194"/>
      <c r="O8" s="192"/>
      <c r="P8" s="192"/>
      <c r="Q8" s="192"/>
    </row>
    <row r="9" spans="1:19" s="180" customFormat="1" ht="186" customHeight="1" x14ac:dyDescent="0.35">
      <c r="A9" s="184"/>
      <c r="B9" s="185"/>
      <c r="C9" s="195"/>
      <c r="D9" s="196" t="s">
        <v>193</v>
      </c>
      <c r="E9" s="186" t="s">
        <v>372</v>
      </c>
      <c r="F9" s="187">
        <v>1</v>
      </c>
      <c r="G9" s="188">
        <v>1</v>
      </c>
      <c r="H9" s="189">
        <f>F9*G9</f>
        <v>1</v>
      </c>
      <c r="I9" s="190" t="s">
        <v>194</v>
      </c>
      <c r="J9" s="191"/>
      <c r="K9" s="192"/>
      <c r="L9" s="192"/>
      <c r="M9" s="193"/>
      <c r="N9" s="194"/>
      <c r="O9" s="192"/>
      <c r="P9" s="192"/>
      <c r="Q9" s="192"/>
    </row>
    <row r="10" spans="1:19" s="180" customFormat="1" ht="146.4" customHeight="1" x14ac:dyDescent="0.35">
      <c r="A10" s="184"/>
      <c r="B10" s="185"/>
      <c r="C10" s="195"/>
      <c r="D10" s="199" t="s">
        <v>195</v>
      </c>
      <c r="E10" s="186" t="s">
        <v>373</v>
      </c>
      <c r="F10" s="187">
        <v>1</v>
      </c>
      <c r="G10" s="188">
        <v>1</v>
      </c>
      <c r="H10" s="189">
        <f t="shared" ref="H10" si="0">F10*G10</f>
        <v>1</v>
      </c>
      <c r="I10" s="190" t="s">
        <v>196</v>
      </c>
      <c r="J10" s="191"/>
      <c r="K10" s="192"/>
      <c r="L10" s="192"/>
      <c r="M10" s="193"/>
      <c r="N10" s="194"/>
      <c r="O10" s="192"/>
      <c r="P10" s="192"/>
      <c r="Q10" s="192"/>
    </row>
    <row r="11" spans="1:19" s="180" customFormat="1" ht="60" customHeight="1" x14ac:dyDescent="0.35">
      <c r="A11" s="184"/>
      <c r="B11" s="185"/>
      <c r="C11" s="291" t="s">
        <v>197</v>
      </c>
      <c r="D11" s="292"/>
      <c r="E11" s="292"/>
      <c r="F11" s="200"/>
      <c r="G11" s="200"/>
      <c r="H11" s="200"/>
      <c r="I11" s="198"/>
      <c r="J11" s="191"/>
      <c r="K11" s="192"/>
      <c r="L11" s="192"/>
      <c r="M11" s="193"/>
      <c r="N11" s="194"/>
      <c r="O11" s="192"/>
      <c r="P11" s="192"/>
      <c r="Q11" s="192"/>
    </row>
    <row r="12" spans="1:19" s="180" customFormat="1" ht="135.65" customHeight="1" x14ac:dyDescent="0.35">
      <c r="A12" s="184"/>
      <c r="B12" s="185"/>
      <c r="C12" s="201"/>
      <c r="D12" s="196" t="s">
        <v>199</v>
      </c>
      <c r="E12" s="186" t="s">
        <v>374</v>
      </c>
      <c r="F12" s="187">
        <v>1</v>
      </c>
      <c r="G12" s="188">
        <v>1</v>
      </c>
      <c r="H12" s="189">
        <f t="shared" ref="H12:H20" si="1">F12*G12</f>
        <v>1</v>
      </c>
      <c r="I12" s="190" t="s">
        <v>200</v>
      </c>
      <c r="J12" s="191"/>
      <c r="K12" s="192"/>
      <c r="L12" s="192"/>
      <c r="M12" s="193"/>
      <c r="N12" s="194"/>
      <c r="O12" s="192"/>
      <c r="P12" s="192"/>
      <c r="Q12" s="192"/>
    </row>
    <row r="13" spans="1:19" s="180" customFormat="1" ht="162.65" customHeight="1" x14ac:dyDescent="0.35">
      <c r="A13" s="184"/>
      <c r="B13" s="185"/>
      <c r="C13" s="201"/>
      <c r="D13" s="202" t="s">
        <v>201</v>
      </c>
      <c r="E13" s="206" t="s">
        <v>375</v>
      </c>
      <c r="F13" s="187">
        <v>1</v>
      </c>
      <c r="G13" s="188">
        <v>1</v>
      </c>
      <c r="H13" s="189">
        <f t="shared" si="1"/>
        <v>1</v>
      </c>
      <c r="I13" s="190" t="s">
        <v>202</v>
      </c>
      <c r="J13" s="191"/>
      <c r="K13" s="192"/>
      <c r="L13" s="192"/>
      <c r="M13" s="193"/>
      <c r="N13" s="194"/>
      <c r="O13" s="192"/>
      <c r="P13" s="192"/>
      <c r="Q13" s="192"/>
      <c r="S13" s="203" t="s">
        <v>153</v>
      </c>
    </row>
    <row r="14" spans="1:19" s="180" customFormat="1" ht="95.4" customHeight="1" x14ac:dyDescent="0.35">
      <c r="A14" s="184"/>
      <c r="B14" s="185"/>
      <c r="C14" s="201"/>
      <c r="D14" s="196" t="s">
        <v>203</v>
      </c>
      <c r="E14" s="206" t="s">
        <v>376</v>
      </c>
      <c r="F14" s="187">
        <v>1</v>
      </c>
      <c r="G14" s="188">
        <v>1</v>
      </c>
      <c r="H14" s="189">
        <f t="shared" si="1"/>
        <v>1</v>
      </c>
      <c r="I14" s="204" t="s">
        <v>204</v>
      </c>
      <c r="J14" s="191"/>
      <c r="K14" s="192"/>
      <c r="L14" s="192"/>
      <c r="M14" s="193"/>
      <c r="N14" s="194"/>
      <c r="O14" s="192"/>
      <c r="P14" s="192"/>
      <c r="Q14" s="192"/>
    </row>
    <row r="15" spans="1:19" s="180" customFormat="1" ht="77.5" x14ac:dyDescent="0.35">
      <c r="A15" s="184"/>
      <c r="B15" s="185"/>
      <c r="C15" s="201"/>
      <c r="D15" s="196" t="s">
        <v>87</v>
      </c>
      <c r="E15" s="186" t="s">
        <v>377</v>
      </c>
      <c r="F15" s="187">
        <v>1</v>
      </c>
      <c r="G15" s="188">
        <v>1</v>
      </c>
      <c r="H15" s="189">
        <f t="shared" si="1"/>
        <v>1</v>
      </c>
      <c r="I15" s="205" t="s">
        <v>152</v>
      </c>
      <c r="J15" s="191"/>
      <c r="K15" s="192"/>
      <c r="L15" s="192"/>
      <c r="M15" s="193"/>
      <c r="N15" s="194"/>
      <c r="O15" s="192"/>
      <c r="P15" s="192"/>
      <c r="Q15" s="192"/>
    </row>
    <row r="16" spans="1:19" s="180" customFormat="1" ht="81.650000000000006" customHeight="1" x14ac:dyDescent="0.35">
      <c r="A16" s="184"/>
      <c r="B16" s="185"/>
      <c r="C16" s="201"/>
      <c r="D16" s="196" t="s">
        <v>88</v>
      </c>
      <c r="E16" s="206" t="s">
        <v>205</v>
      </c>
      <c r="F16" s="187">
        <v>1</v>
      </c>
      <c r="G16" s="188">
        <v>1</v>
      </c>
      <c r="H16" s="189">
        <f t="shared" si="1"/>
        <v>1</v>
      </c>
      <c r="I16" s="205" t="s">
        <v>151</v>
      </c>
      <c r="J16" s="191"/>
      <c r="K16" s="192"/>
      <c r="L16" s="192"/>
      <c r="M16" s="193"/>
      <c r="N16" s="194"/>
      <c r="O16" s="192"/>
      <c r="P16" s="192"/>
      <c r="Q16" s="192"/>
      <c r="S16" s="203" t="s">
        <v>148</v>
      </c>
    </row>
    <row r="17" spans="1:19" ht="15.5" x14ac:dyDescent="0.35">
      <c r="A17" s="138"/>
      <c r="B17" s="149"/>
      <c r="C17" s="282" t="s">
        <v>188</v>
      </c>
      <c r="D17" s="283"/>
      <c r="E17" s="172"/>
      <c r="F17" s="172"/>
      <c r="G17" s="172"/>
      <c r="H17" s="172"/>
      <c r="I17" s="173"/>
      <c r="J17" s="141"/>
      <c r="K17" s="175"/>
      <c r="L17" s="175"/>
      <c r="M17" s="179"/>
      <c r="N17" s="179"/>
      <c r="O17" s="175"/>
      <c r="P17" s="175"/>
      <c r="Q17" s="175"/>
    </row>
    <row r="18" spans="1:19" s="180" customFormat="1" ht="92" customHeight="1" x14ac:dyDescent="0.35">
      <c r="A18" s="184"/>
      <c r="B18" s="185"/>
      <c r="C18" s="201"/>
      <c r="D18" s="196" t="s">
        <v>206</v>
      </c>
      <c r="E18" s="206" t="s">
        <v>378</v>
      </c>
      <c r="F18" s="187">
        <v>1</v>
      </c>
      <c r="G18" s="188">
        <v>1</v>
      </c>
      <c r="H18" s="189">
        <f t="shared" si="1"/>
        <v>1</v>
      </c>
      <c r="I18" s="207" t="s">
        <v>207</v>
      </c>
      <c r="J18" s="191"/>
      <c r="K18" s="192"/>
      <c r="L18" s="192"/>
      <c r="M18" s="193"/>
      <c r="N18" s="194"/>
      <c r="O18" s="192"/>
      <c r="P18" s="192"/>
      <c r="Q18" s="192"/>
    </row>
    <row r="19" spans="1:19" s="180" customFormat="1" ht="163.75" customHeight="1" x14ac:dyDescent="0.35">
      <c r="A19" s="184"/>
      <c r="B19" s="185"/>
      <c r="C19" s="201"/>
      <c r="D19" s="196" t="s">
        <v>208</v>
      </c>
      <c r="E19" s="186" t="s">
        <v>379</v>
      </c>
      <c r="F19" s="187">
        <v>1</v>
      </c>
      <c r="G19" s="188">
        <v>1</v>
      </c>
      <c r="H19" s="189">
        <f t="shared" si="1"/>
        <v>1</v>
      </c>
      <c r="I19" s="190" t="s">
        <v>209</v>
      </c>
      <c r="J19" s="191"/>
      <c r="K19" s="192"/>
      <c r="L19" s="192"/>
      <c r="M19" s="193"/>
      <c r="N19" s="194"/>
      <c r="O19" s="192"/>
      <c r="P19" s="192"/>
      <c r="Q19" s="192"/>
    </row>
    <row r="20" spans="1:19" s="180" customFormat="1" ht="93" x14ac:dyDescent="0.35">
      <c r="A20" s="184"/>
      <c r="B20" s="185"/>
      <c r="C20" s="201"/>
      <c r="D20" s="196" t="s">
        <v>210</v>
      </c>
      <c r="E20" s="186" t="s">
        <v>380</v>
      </c>
      <c r="F20" s="187">
        <v>1</v>
      </c>
      <c r="G20" s="188">
        <v>1</v>
      </c>
      <c r="H20" s="189">
        <f t="shared" si="1"/>
        <v>1</v>
      </c>
      <c r="I20" s="190" t="s">
        <v>211</v>
      </c>
      <c r="J20" s="191"/>
      <c r="K20" s="192"/>
      <c r="L20" s="192"/>
      <c r="M20" s="193"/>
      <c r="N20" s="194"/>
      <c r="O20" s="192"/>
      <c r="P20" s="192"/>
      <c r="Q20" s="192"/>
    </row>
    <row r="21" spans="1:19" ht="15.5" x14ac:dyDescent="0.35">
      <c r="A21" s="138"/>
      <c r="B21" s="149"/>
      <c r="C21" s="282" t="s">
        <v>185</v>
      </c>
      <c r="D21" s="283"/>
      <c r="E21" s="172"/>
      <c r="F21" s="172"/>
      <c r="G21" s="172"/>
      <c r="H21" s="172"/>
      <c r="I21" s="173"/>
      <c r="J21" s="141"/>
      <c r="K21" s="175"/>
      <c r="L21" s="175"/>
      <c r="M21" s="177"/>
      <c r="N21" s="178"/>
      <c r="O21" s="175"/>
      <c r="P21" s="175"/>
      <c r="Q21" s="175"/>
    </row>
    <row r="22" spans="1:19" s="180" customFormat="1" ht="102" customHeight="1" x14ac:dyDescent="0.35">
      <c r="A22" s="184"/>
      <c r="B22" s="185"/>
      <c r="C22" s="201"/>
      <c r="D22" s="208" t="s">
        <v>212</v>
      </c>
      <c r="E22" s="186" t="s">
        <v>381</v>
      </c>
      <c r="F22" s="187">
        <v>1</v>
      </c>
      <c r="G22" s="188">
        <v>1</v>
      </c>
      <c r="H22" s="189">
        <f t="shared" ref="H22:H23" si="2">F22*G22</f>
        <v>1</v>
      </c>
      <c r="I22" s="190" t="s">
        <v>213</v>
      </c>
      <c r="J22" s="191"/>
      <c r="K22" s="192"/>
      <c r="L22" s="192"/>
      <c r="M22" s="193"/>
      <c r="N22" s="194"/>
      <c r="O22" s="192"/>
      <c r="P22" s="192"/>
      <c r="Q22" s="192"/>
      <c r="S22" s="203" t="s">
        <v>154</v>
      </c>
    </row>
    <row r="23" spans="1:19" s="180" customFormat="1" ht="184.25" customHeight="1" x14ac:dyDescent="0.35">
      <c r="A23" s="184"/>
      <c r="B23" s="185"/>
      <c r="C23" s="201"/>
      <c r="D23" s="208" t="s">
        <v>214</v>
      </c>
      <c r="E23" s="186" t="s">
        <v>382</v>
      </c>
      <c r="F23" s="187">
        <v>1</v>
      </c>
      <c r="G23" s="188">
        <v>1</v>
      </c>
      <c r="H23" s="189">
        <f t="shared" si="2"/>
        <v>1</v>
      </c>
      <c r="I23" s="190" t="s">
        <v>215</v>
      </c>
      <c r="J23" s="191"/>
      <c r="K23" s="192"/>
      <c r="L23" s="192"/>
      <c r="M23" s="193"/>
      <c r="N23" s="194"/>
      <c r="O23" s="192"/>
      <c r="P23" s="192"/>
      <c r="Q23" s="192"/>
      <c r="S23" s="203" t="s">
        <v>155</v>
      </c>
    </row>
    <row r="24" spans="1:19" ht="62.4" customHeight="1" x14ac:dyDescent="0.35">
      <c r="A24" s="139"/>
      <c r="B24" s="284" t="s">
        <v>176</v>
      </c>
      <c r="C24" s="285"/>
      <c r="D24" s="285"/>
      <c r="E24" s="285"/>
      <c r="F24" s="167"/>
      <c r="G24" s="167"/>
      <c r="H24" s="167"/>
      <c r="I24" s="170">
        <f>AVERAGEIF(H25:H28,"&gt;0")</f>
        <v>1</v>
      </c>
      <c r="J24" s="139"/>
      <c r="K24" s="175"/>
      <c r="L24" s="175"/>
      <c r="M24" s="179"/>
      <c r="N24" s="179"/>
      <c r="O24" s="175"/>
      <c r="P24" s="175"/>
      <c r="Q24" s="175"/>
    </row>
    <row r="25" spans="1:19" s="182" customFormat="1" ht="149" customHeight="1" x14ac:dyDescent="0.35">
      <c r="A25" s="304"/>
      <c r="B25" s="185"/>
      <c r="C25" s="305" t="s">
        <v>216</v>
      </c>
      <c r="D25" s="306"/>
      <c r="E25" s="186" t="s">
        <v>383</v>
      </c>
      <c r="F25" s="187">
        <v>1</v>
      </c>
      <c r="G25" s="188">
        <v>1</v>
      </c>
      <c r="H25" s="189">
        <f t="shared" ref="H25:H27" si="3">F25*G25</f>
        <v>1</v>
      </c>
      <c r="I25" s="190" t="s">
        <v>217</v>
      </c>
      <c r="J25" s="304"/>
      <c r="K25" s="192"/>
      <c r="L25" s="192"/>
      <c r="M25" s="307"/>
      <c r="N25" s="307"/>
      <c r="O25" s="192"/>
      <c r="P25" s="192"/>
      <c r="Q25" s="192"/>
    </row>
    <row r="26" spans="1:19" s="182" customFormat="1" ht="194" customHeight="1" x14ac:dyDescent="0.35">
      <c r="A26" s="304"/>
      <c r="B26" s="185"/>
      <c r="C26" s="305" t="s">
        <v>218</v>
      </c>
      <c r="D26" s="306"/>
      <c r="E26" s="186" t="s">
        <v>384</v>
      </c>
      <c r="F26" s="187">
        <v>1</v>
      </c>
      <c r="G26" s="188">
        <v>1</v>
      </c>
      <c r="H26" s="189">
        <f t="shared" si="3"/>
        <v>1</v>
      </c>
      <c r="I26" s="190" t="s">
        <v>219</v>
      </c>
      <c r="J26" s="304"/>
      <c r="K26" s="192"/>
      <c r="L26" s="192"/>
      <c r="M26" s="307"/>
      <c r="N26" s="307"/>
      <c r="O26" s="192"/>
      <c r="P26" s="192"/>
      <c r="Q26" s="192"/>
    </row>
    <row r="27" spans="1:19" s="182" customFormat="1" ht="213" customHeight="1" x14ac:dyDescent="0.35">
      <c r="A27" s="304"/>
      <c r="B27" s="185"/>
      <c r="C27" s="305" t="s">
        <v>220</v>
      </c>
      <c r="D27" s="306"/>
      <c r="E27" s="186" t="s">
        <v>385</v>
      </c>
      <c r="F27" s="187">
        <v>1</v>
      </c>
      <c r="G27" s="188">
        <v>1</v>
      </c>
      <c r="H27" s="189">
        <f t="shared" si="3"/>
        <v>1</v>
      </c>
      <c r="I27" s="190" t="s">
        <v>221</v>
      </c>
      <c r="J27" s="304"/>
      <c r="K27" s="192"/>
      <c r="L27" s="192"/>
      <c r="M27" s="307"/>
      <c r="N27" s="307"/>
      <c r="O27" s="192"/>
      <c r="P27" s="192"/>
      <c r="Q27" s="192"/>
    </row>
    <row r="28" spans="1:19" s="182" customFormat="1" ht="132" customHeight="1" x14ac:dyDescent="0.35">
      <c r="A28" s="184"/>
      <c r="B28" s="185"/>
      <c r="C28" s="308" t="s">
        <v>86</v>
      </c>
      <c r="D28" s="309"/>
      <c r="E28" s="186" t="s">
        <v>222</v>
      </c>
      <c r="F28" s="187">
        <v>1</v>
      </c>
      <c r="G28" s="188">
        <v>1</v>
      </c>
      <c r="H28" s="189">
        <f>F28*G28</f>
        <v>1</v>
      </c>
      <c r="I28" s="190" t="s">
        <v>223</v>
      </c>
      <c r="J28" s="191"/>
      <c r="K28" s="192"/>
      <c r="L28" s="192"/>
      <c r="M28" s="193"/>
      <c r="N28" s="194"/>
      <c r="O28" s="192"/>
      <c r="P28" s="192"/>
      <c r="Q28" s="192"/>
    </row>
    <row r="29" spans="1:19" s="182" customFormat="1" ht="58.25" customHeight="1" x14ac:dyDescent="0.35">
      <c r="A29" s="304"/>
      <c r="B29" s="310" t="s">
        <v>178</v>
      </c>
      <c r="C29" s="311"/>
      <c r="D29" s="311"/>
      <c r="E29" s="311"/>
      <c r="F29" s="312"/>
      <c r="G29" s="312"/>
      <c r="H29" s="312"/>
      <c r="I29" s="313">
        <f>H30</f>
        <v>1</v>
      </c>
      <c r="J29" s="304"/>
      <c r="K29" s="192"/>
      <c r="L29" s="192"/>
      <c r="M29" s="307"/>
      <c r="N29" s="307"/>
      <c r="O29" s="192"/>
      <c r="P29" s="192"/>
      <c r="Q29" s="192"/>
    </row>
    <row r="30" spans="1:19" s="182" customFormat="1" ht="180" customHeight="1" x14ac:dyDescent="0.35">
      <c r="A30" s="304"/>
      <c r="B30" s="185"/>
      <c r="C30" s="305" t="s">
        <v>224</v>
      </c>
      <c r="D30" s="306"/>
      <c r="E30" s="186" t="s">
        <v>386</v>
      </c>
      <c r="F30" s="187">
        <v>1</v>
      </c>
      <c r="G30" s="188">
        <v>1</v>
      </c>
      <c r="H30" s="189">
        <f t="shared" ref="H30" si="4">F30*G30</f>
        <v>1</v>
      </c>
      <c r="I30" s="190" t="s">
        <v>226</v>
      </c>
      <c r="J30" s="304"/>
      <c r="K30" s="192"/>
      <c r="L30" s="192"/>
      <c r="M30" s="307"/>
      <c r="N30" s="307"/>
      <c r="O30" s="192"/>
      <c r="P30" s="192"/>
      <c r="Q30" s="192"/>
    </row>
    <row r="31" spans="1:19" s="182" customFormat="1" ht="73.5" customHeight="1" x14ac:dyDescent="0.35">
      <c r="A31" s="304"/>
      <c r="B31" s="311" t="s">
        <v>179</v>
      </c>
      <c r="C31" s="311"/>
      <c r="D31" s="311"/>
      <c r="E31" s="311"/>
      <c r="F31" s="312"/>
      <c r="G31" s="312"/>
      <c r="H31" s="312"/>
      <c r="I31" s="313">
        <f>AVERAGEIF(H32:H36,"&gt;0")</f>
        <v>1</v>
      </c>
      <c r="J31" s="304"/>
      <c r="K31" s="192"/>
      <c r="L31" s="192"/>
      <c r="M31" s="307"/>
      <c r="N31" s="307"/>
      <c r="O31" s="192"/>
      <c r="P31" s="192"/>
      <c r="Q31" s="192"/>
    </row>
    <row r="32" spans="1:19" s="182" customFormat="1" ht="130" customHeight="1" x14ac:dyDescent="0.35">
      <c r="A32" s="304"/>
      <c r="B32" s="185"/>
      <c r="C32" s="305" t="s">
        <v>225</v>
      </c>
      <c r="D32" s="306"/>
      <c r="E32" s="186" t="s">
        <v>387</v>
      </c>
      <c r="F32" s="187">
        <v>1</v>
      </c>
      <c r="G32" s="188">
        <v>1</v>
      </c>
      <c r="H32" s="189">
        <f t="shared" ref="H32:H36" si="5">F32*G32</f>
        <v>1</v>
      </c>
      <c r="I32" s="190" t="s">
        <v>227</v>
      </c>
      <c r="J32" s="304"/>
      <c r="K32" s="192"/>
      <c r="L32" s="192"/>
      <c r="M32" s="307"/>
      <c r="N32" s="307"/>
      <c r="O32" s="192"/>
      <c r="P32" s="192"/>
      <c r="Q32" s="192"/>
    </row>
    <row r="33" spans="1:19" s="182" customFormat="1" ht="107.5" x14ac:dyDescent="0.35">
      <c r="A33" s="304"/>
      <c r="B33" s="185"/>
      <c r="C33" s="305" t="s">
        <v>228</v>
      </c>
      <c r="D33" s="306"/>
      <c r="E33" s="186" t="s">
        <v>388</v>
      </c>
      <c r="F33" s="187">
        <v>1</v>
      </c>
      <c r="G33" s="188">
        <v>1</v>
      </c>
      <c r="H33" s="189">
        <f t="shared" ref="H33:H34" si="6">F33*G33</f>
        <v>1</v>
      </c>
      <c r="I33" s="190" t="s">
        <v>229</v>
      </c>
      <c r="J33" s="304"/>
      <c r="K33" s="192"/>
      <c r="L33" s="192"/>
      <c r="M33" s="307"/>
      <c r="N33" s="307"/>
      <c r="O33" s="192"/>
      <c r="P33" s="192"/>
      <c r="Q33" s="192"/>
    </row>
    <row r="34" spans="1:19" s="182" customFormat="1" ht="132" customHeight="1" x14ac:dyDescent="0.35">
      <c r="A34" s="304"/>
      <c r="B34" s="185"/>
      <c r="C34" s="305" t="s">
        <v>230</v>
      </c>
      <c r="D34" s="306"/>
      <c r="E34" s="186" t="s">
        <v>389</v>
      </c>
      <c r="F34" s="187">
        <v>1</v>
      </c>
      <c r="G34" s="188">
        <v>1</v>
      </c>
      <c r="H34" s="189">
        <f t="shared" si="6"/>
        <v>1</v>
      </c>
      <c r="I34" s="190" t="s">
        <v>231</v>
      </c>
      <c r="J34" s="304"/>
      <c r="K34" s="192"/>
      <c r="L34" s="192"/>
      <c r="M34" s="307"/>
      <c r="N34" s="307"/>
      <c r="O34" s="192"/>
      <c r="P34" s="192"/>
      <c r="Q34" s="192"/>
    </row>
    <row r="35" spans="1:19" s="182" customFormat="1" ht="134.5" customHeight="1" x14ac:dyDescent="0.35">
      <c r="A35" s="304"/>
      <c r="B35" s="185"/>
      <c r="C35" s="305" t="s">
        <v>232</v>
      </c>
      <c r="D35" s="306"/>
      <c r="E35" s="186" t="s">
        <v>390</v>
      </c>
      <c r="F35" s="187">
        <v>1</v>
      </c>
      <c r="G35" s="188">
        <v>1</v>
      </c>
      <c r="H35" s="189">
        <f t="shared" si="5"/>
        <v>1</v>
      </c>
      <c r="I35" s="190" t="s">
        <v>233</v>
      </c>
      <c r="J35" s="314"/>
      <c r="K35" s="192"/>
      <c r="L35" s="192"/>
      <c r="M35" s="307"/>
      <c r="N35" s="307"/>
      <c r="O35" s="192"/>
      <c r="P35" s="192"/>
      <c r="Q35" s="192"/>
      <c r="S35" s="181" t="s">
        <v>149</v>
      </c>
    </row>
    <row r="36" spans="1:19" s="182" customFormat="1" ht="107" customHeight="1" x14ac:dyDescent="0.35">
      <c r="A36" s="304"/>
      <c r="B36" s="185"/>
      <c r="C36" s="305" t="s">
        <v>72</v>
      </c>
      <c r="D36" s="306"/>
      <c r="E36" s="186" t="s">
        <v>391</v>
      </c>
      <c r="F36" s="187">
        <v>1</v>
      </c>
      <c r="G36" s="188">
        <v>1</v>
      </c>
      <c r="H36" s="189">
        <f t="shared" si="5"/>
        <v>1</v>
      </c>
      <c r="I36" s="190" t="s">
        <v>234</v>
      </c>
      <c r="J36" s="304"/>
      <c r="K36" s="192"/>
      <c r="L36" s="192"/>
      <c r="M36" s="307"/>
      <c r="N36" s="307"/>
      <c r="O36" s="192"/>
      <c r="P36" s="192"/>
      <c r="Q36" s="192"/>
      <c r="S36" s="181" t="s">
        <v>149</v>
      </c>
    </row>
    <row r="37" spans="1:19" ht="60" customHeight="1" x14ac:dyDescent="0.35">
      <c r="A37" s="295" t="s">
        <v>177</v>
      </c>
      <c r="B37" s="296"/>
      <c r="C37" s="296"/>
      <c r="D37" s="296"/>
      <c r="E37" s="174"/>
      <c r="F37" s="174"/>
      <c r="G37" s="174"/>
      <c r="H37" s="174"/>
      <c r="I37" s="174"/>
      <c r="J37" s="139"/>
      <c r="K37" s="175"/>
      <c r="L37" s="175"/>
      <c r="M37" s="179"/>
      <c r="N37" s="179"/>
      <c r="O37" s="175"/>
      <c r="P37" s="175"/>
      <c r="Q37" s="175"/>
    </row>
    <row r="38" spans="1:19" s="144" customFormat="1" ht="190" customHeight="1" x14ac:dyDescent="0.45">
      <c r="A38" s="143"/>
      <c r="B38" s="276" t="s">
        <v>180</v>
      </c>
      <c r="C38" s="277"/>
      <c r="D38" s="277"/>
      <c r="E38" s="277"/>
      <c r="F38" s="169"/>
      <c r="G38" s="169"/>
      <c r="H38" s="169"/>
      <c r="I38" s="170">
        <f>AVERAGEIF(H39:H40,"&gt;0")</f>
        <v>1</v>
      </c>
      <c r="J38" s="143"/>
      <c r="K38" s="175"/>
      <c r="L38" s="175"/>
      <c r="M38" s="179"/>
      <c r="N38" s="179"/>
      <c r="O38" s="175"/>
      <c r="P38" s="175"/>
      <c r="Q38" s="175"/>
      <c r="R38"/>
    </row>
    <row r="39" spans="1:19" s="182" customFormat="1" ht="180.5" customHeight="1" x14ac:dyDescent="0.35">
      <c r="A39" s="304"/>
      <c r="B39" s="185"/>
      <c r="C39" s="305" t="s">
        <v>235</v>
      </c>
      <c r="D39" s="306"/>
      <c r="E39" s="186" t="s">
        <v>392</v>
      </c>
      <c r="F39" s="187">
        <f>F5</f>
        <v>1</v>
      </c>
      <c r="G39" s="188">
        <v>1</v>
      </c>
      <c r="H39" s="189">
        <f t="shared" ref="H39:H40" si="7">F39*G39</f>
        <v>1</v>
      </c>
      <c r="I39" s="190" t="s">
        <v>236</v>
      </c>
      <c r="J39" s="304"/>
      <c r="K39" s="192"/>
      <c r="L39" s="192"/>
      <c r="M39" s="307"/>
      <c r="N39" s="307"/>
      <c r="O39" s="192"/>
      <c r="P39" s="192"/>
      <c r="Q39" s="192"/>
      <c r="S39" s="181" t="s">
        <v>150</v>
      </c>
    </row>
    <row r="40" spans="1:19" s="182" customFormat="1" ht="260.5" customHeight="1" x14ac:dyDescent="0.35">
      <c r="A40" s="304"/>
      <c r="B40" s="185"/>
      <c r="C40" s="305" t="s">
        <v>237</v>
      </c>
      <c r="D40" s="306"/>
      <c r="E40" s="186" t="s">
        <v>393</v>
      </c>
      <c r="F40" s="187">
        <v>1</v>
      </c>
      <c r="G40" s="188">
        <v>1</v>
      </c>
      <c r="H40" s="189">
        <f t="shared" si="7"/>
        <v>1</v>
      </c>
      <c r="I40" s="190" t="s">
        <v>238</v>
      </c>
      <c r="J40" s="304"/>
      <c r="K40" s="192"/>
      <c r="L40" s="192"/>
      <c r="M40" s="307"/>
      <c r="N40" s="307"/>
      <c r="O40" s="192"/>
      <c r="P40" s="192"/>
      <c r="Q40" s="192"/>
    </row>
    <row r="41" spans="1:19" ht="52" customHeight="1" thickBot="1" x14ac:dyDescent="0.4">
      <c r="A41" s="148"/>
      <c r="B41" s="293" t="s">
        <v>181</v>
      </c>
      <c r="C41" s="294"/>
      <c r="D41" s="294"/>
      <c r="E41" s="294"/>
      <c r="F41" s="166"/>
      <c r="G41" s="166"/>
      <c r="H41" s="166"/>
      <c r="I41" s="170">
        <f>AVERAGEIF(H42:H43,"&gt;0")</f>
        <v>1</v>
      </c>
      <c r="J41" s="139"/>
      <c r="K41" s="175"/>
      <c r="L41" s="175"/>
      <c r="M41" s="179"/>
      <c r="N41" s="179"/>
      <c r="O41" s="175"/>
      <c r="P41" s="175"/>
      <c r="Q41" s="175"/>
    </row>
    <row r="42" spans="1:19" s="182" customFormat="1" ht="197.5" customHeight="1" thickTop="1" x14ac:dyDescent="0.35">
      <c r="A42" s="304"/>
      <c r="B42" s="185"/>
      <c r="C42" s="305" t="s">
        <v>239</v>
      </c>
      <c r="D42" s="306"/>
      <c r="E42" s="186" t="s">
        <v>394</v>
      </c>
      <c r="F42" s="187">
        <v>1</v>
      </c>
      <c r="G42" s="188">
        <v>1</v>
      </c>
      <c r="H42" s="189">
        <f t="shared" ref="H42:H43" si="8">F42*G42</f>
        <v>1</v>
      </c>
      <c r="I42" s="190" t="s">
        <v>240</v>
      </c>
      <c r="J42" s="304"/>
      <c r="K42" s="192"/>
      <c r="L42" s="192"/>
      <c r="M42" s="307"/>
      <c r="N42" s="307"/>
      <c r="O42" s="192"/>
      <c r="P42" s="192"/>
      <c r="Q42" s="192"/>
    </row>
    <row r="43" spans="1:19" s="182" customFormat="1" ht="94" customHeight="1" x14ac:dyDescent="0.35">
      <c r="A43" s="304"/>
      <c r="B43" s="185"/>
      <c r="C43" s="305" t="s">
        <v>241</v>
      </c>
      <c r="D43" s="306"/>
      <c r="E43" s="186" t="s">
        <v>395</v>
      </c>
      <c r="F43" s="187">
        <v>1</v>
      </c>
      <c r="G43" s="188">
        <v>1</v>
      </c>
      <c r="H43" s="189">
        <f t="shared" si="8"/>
        <v>1</v>
      </c>
      <c r="I43" s="190" t="s">
        <v>242</v>
      </c>
      <c r="J43" s="314"/>
      <c r="K43" s="192"/>
      <c r="L43" s="192"/>
      <c r="M43" s="307"/>
      <c r="N43" s="307"/>
      <c r="O43" s="192"/>
      <c r="P43" s="192"/>
      <c r="Q43" s="192"/>
    </row>
    <row r="44" spans="1:19" ht="34.5" customHeight="1" x14ac:dyDescent="0.35">
      <c r="A44" s="278" t="s">
        <v>91</v>
      </c>
      <c r="B44" s="279"/>
      <c r="C44" s="279"/>
      <c r="D44" s="279"/>
      <c r="E44" s="279"/>
      <c r="F44" s="165"/>
      <c r="G44" s="165"/>
      <c r="H44" s="165"/>
      <c r="I44" s="165"/>
      <c r="J44" s="139"/>
      <c r="K44" s="175"/>
      <c r="L44" s="175"/>
      <c r="M44" s="179"/>
      <c r="N44" s="179"/>
      <c r="O44" s="175"/>
      <c r="P44" s="175"/>
      <c r="Q44" s="175"/>
    </row>
    <row r="45" spans="1:19" ht="86.5" customHeight="1" x14ac:dyDescent="0.35">
      <c r="A45" s="139"/>
      <c r="B45" s="276" t="s">
        <v>182</v>
      </c>
      <c r="C45" s="277"/>
      <c r="D45" s="277"/>
      <c r="E45" s="277"/>
      <c r="F45" s="164"/>
      <c r="G45" s="164"/>
      <c r="H45" s="164"/>
      <c r="I45" s="170">
        <f>AVERAGEIF(H46:H51,"&gt;0")</f>
        <v>1</v>
      </c>
      <c r="J45" s="139"/>
      <c r="K45" s="175"/>
      <c r="L45" s="175"/>
      <c r="M45" s="179"/>
      <c r="N45" s="179"/>
      <c r="O45" s="175"/>
      <c r="P45" s="175"/>
      <c r="Q45" s="175"/>
    </row>
    <row r="46" spans="1:19" s="182" customFormat="1" ht="137" customHeight="1" x14ac:dyDescent="0.35">
      <c r="A46" s="304"/>
      <c r="B46" s="185"/>
      <c r="C46" s="305" t="s">
        <v>243</v>
      </c>
      <c r="D46" s="306"/>
      <c r="E46" s="186" t="s">
        <v>396</v>
      </c>
      <c r="F46" s="187">
        <v>1</v>
      </c>
      <c r="G46" s="188">
        <v>1</v>
      </c>
      <c r="H46" s="189">
        <f t="shared" ref="H46:H51" si="9">F46*G46</f>
        <v>1</v>
      </c>
      <c r="I46" s="190" t="s">
        <v>244</v>
      </c>
      <c r="J46" s="304"/>
      <c r="K46" s="192"/>
      <c r="L46" s="192"/>
      <c r="M46" s="307"/>
      <c r="N46" s="307"/>
      <c r="O46" s="192"/>
      <c r="P46" s="192"/>
      <c r="Q46" s="192"/>
    </row>
    <row r="47" spans="1:19" s="182" customFormat="1" ht="155" customHeight="1" x14ac:dyDescent="0.35">
      <c r="A47" s="304"/>
      <c r="B47" s="185"/>
      <c r="C47" s="305" t="s">
        <v>245</v>
      </c>
      <c r="D47" s="306"/>
      <c r="E47" s="186" t="s">
        <v>397</v>
      </c>
      <c r="F47" s="187">
        <v>1</v>
      </c>
      <c r="G47" s="188">
        <v>1</v>
      </c>
      <c r="H47" s="189">
        <f t="shared" si="9"/>
        <v>1</v>
      </c>
      <c r="I47" s="190"/>
      <c r="J47" s="304"/>
      <c r="K47" s="192"/>
      <c r="L47" s="192"/>
      <c r="M47" s="307"/>
      <c r="N47" s="307"/>
      <c r="O47" s="192"/>
      <c r="P47" s="192"/>
      <c r="Q47" s="192"/>
    </row>
    <row r="48" spans="1:19" s="182" customFormat="1" ht="154.5" customHeight="1" x14ac:dyDescent="0.35">
      <c r="A48" s="304"/>
      <c r="B48" s="185"/>
      <c r="C48" s="305" t="s">
        <v>247</v>
      </c>
      <c r="D48" s="306"/>
      <c r="E48" s="186" t="s">
        <v>398</v>
      </c>
      <c r="F48" s="187">
        <v>1</v>
      </c>
      <c r="G48" s="188">
        <v>1</v>
      </c>
      <c r="H48" s="189">
        <f t="shared" si="9"/>
        <v>1</v>
      </c>
      <c r="I48" s="190" t="s">
        <v>246</v>
      </c>
      <c r="J48" s="304"/>
      <c r="K48" s="192"/>
      <c r="L48" s="192"/>
      <c r="M48" s="307"/>
      <c r="N48" s="307"/>
      <c r="O48" s="192"/>
      <c r="P48" s="192"/>
      <c r="Q48" s="192"/>
    </row>
    <row r="49" spans="1:18" s="182" customFormat="1" ht="120" customHeight="1" x14ac:dyDescent="0.35">
      <c r="A49" s="304"/>
      <c r="B49" s="185"/>
      <c r="C49" s="305" t="s">
        <v>248</v>
      </c>
      <c r="D49" s="306"/>
      <c r="E49" s="186" t="s">
        <v>399</v>
      </c>
      <c r="F49" s="187">
        <v>1</v>
      </c>
      <c r="G49" s="188">
        <v>1</v>
      </c>
      <c r="H49" s="189">
        <f t="shared" si="9"/>
        <v>1</v>
      </c>
      <c r="I49" s="190" t="s">
        <v>249</v>
      </c>
      <c r="J49" s="304"/>
      <c r="K49" s="192"/>
      <c r="L49" s="192"/>
      <c r="M49" s="307"/>
      <c r="N49" s="307"/>
      <c r="O49" s="192"/>
      <c r="P49" s="192"/>
      <c r="Q49" s="192"/>
    </row>
    <row r="50" spans="1:18" s="182" customFormat="1" ht="164" customHeight="1" x14ac:dyDescent="0.35">
      <c r="A50" s="304"/>
      <c r="B50" s="185"/>
      <c r="C50" s="305" t="s">
        <v>139</v>
      </c>
      <c r="D50" s="306"/>
      <c r="E50" s="186" t="s">
        <v>400</v>
      </c>
      <c r="F50" s="187">
        <v>1</v>
      </c>
      <c r="G50" s="188">
        <v>1</v>
      </c>
      <c r="H50" s="189">
        <f t="shared" si="9"/>
        <v>1</v>
      </c>
      <c r="I50" s="190" t="s">
        <v>250</v>
      </c>
      <c r="J50" s="304"/>
      <c r="K50" s="192"/>
      <c r="L50" s="192"/>
      <c r="M50" s="307"/>
      <c r="N50" s="307"/>
      <c r="O50" s="192"/>
      <c r="P50" s="192"/>
      <c r="Q50" s="192"/>
    </row>
    <row r="51" spans="1:18" s="182" customFormat="1" ht="91" customHeight="1" x14ac:dyDescent="0.35">
      <c r="A51" s="304"/>
      <c r="B51" s="185"/>
      <c r="C51" s="305" t="s">
        <v>251</v>
      </c>
      <c r="D51" s="306"/>
      <c r="E51" s="186" t="s">
        <v>401</v>
      </c>
      <c r="F51" s="187">
        <v>1</v>
      </c>
      <c r="G51" s="188">
        <v>1</v>
      </c>
      <c r="H51" s="189">
        <f t="shared" si="9"/>
        <v>1</v>
      </c>
      <c r="I51" s="190"/>
      <c r="J51" s="304"/>
      <c r="K51" s="192"/>
      <c r="L51" s="192"/>
      <c r="M51" s="307"/>
      <c r="N51" s="307"/>
      <c r="O51" s="192"/>
      <c r="P51" s="192"/>
      <c r="Q51" s="192"/>
    </row>
    <row r="52" spans="1:18" ht="52.75" customHeight="1" x14ac:dyDescent="0.35">
      <c r="A52" s="139"/>
      <c r="B52" s="277" t="s">
        <v>183</v>
      </c>
      <c r="C52" s="277"/>
      <c r="D52" s="277"/>
      <c r="E52" s="277"/>
      <c r="F52" s="164"/>
      <c r="G52" s="164"/>
      <c r="H52" s="164"/>
      <c r="I52" s="170">
        <f>AVERAGEIF(H54:H58,"&gt;0")</f>
        <v>1</v>
      </c>
      <c r="J52" s="139"/>
      <c r="K52" s="175"/>
      <c r="L52" s="175"/>
      <c r="M52" s="179"/>
      <c r="N52" s="179"/>
      <c r="O52" s="175"/>
      <c r="P52" s="175"/>
      <c r="Q52" s="175"/>
    </row>
    <row r="53" spans="1:18" ht="18.5" x14ac:dyDescent="0.35">
      <c r="A53" s="139"/>
      <c r="B53" s="164"/>
      <c r="C53" s="286" t="s">
        <v>89</v>
      </c>
      <c r="D53" s="287"/>
      <c r="E53" s="142"/>
      <c r="F53" s="142"/>
      <c r="G53" s="142"/>
      <c r="H53" s="142"/>
      <c r="I53" s="160"/>
      <c r="J53" s="139"/>
      <c r="K53" s="175"/>
      <c r="L53" s="175"/>
      <c r="M53" s="179"/>
      <c r="N53" s="179"/>
      <c r="O53" s="175"/>
      <c r="P53" s="175"/>
      <c r="Q53" s="175"/>
    </row>
    <row r="54" spans="1:18" s="182" customFormat="1" ht="253.25" customHeight="1" x14ac:dyDescent="0.35">
      <c r="A54" s="304"/>
      <c r="B54" s="312"/>
      <c r="C54" s="315"/>
      <c r="D54" s="208" t="s">
        <v>252</v>
      </c>
      <c r="E54" s="186" t="s">
        <v>402</v>
      </c>
      <c r="F54" s="187">
        <v>1</v>
      </c>
      <c r="G54" s="188">
        <v>1</v>
      </c>
      <c r="H54" s="189">
        <f>F54*G54</f>
        <v>1</v>
      </c>
      <c r="I54" s="198" t="s">
        <v>253</v>
      </c>
      <c r="J54" s="304"/>
      <c r="K54" s="192"/>
      <c r="L54" s="192"/>
      <c r="M54" s="307"/>
      <c r="N54" s="307"/>
      <c r="O54" s="192"/>
      <c r="P54" s="192"/>
      <c r="Q54" s="192"/>
    </row>
    <row r="55" spans="1:18" s="182" customFormat="1" ht="191" customHeight="1" x14ac:dyDescent="0.35">
      <c r="A55" s="304"/>
      <c r="B55" s="312"/>
      <c r="C55" s="195"/>
      <c r="D55" s="202" t="s">
        <v>254</v>
      </c>
      <c r="E55" s="186" t="s">
        <v>403</v>
      </c>
      <c r="F55" s="187">
        <v>1</v>
      </c>
      <c r="G55" s="188">
        <v>1</v>
      </c>
      <c r="H55" s="189">
        <f>F55*G55</f>
        <v>1</v>
      </c>
      <c r="I55" s="190" t="s">
        <v>255</v>
      </c>
      <c r="J55" s="314"/>
      <c r="K55" s="192"/>
      <c r="L55" s="192"/>
      <c r="M55" s="307"/>
      <c r="N55" s="307"/>
      <c r="O55" s="192"/>
      <c r="P55" s="192"/>
      <c r="Q55" s="192"/>
    </row>
    <row r="56" spans="1:18" ht="29.5" customHeight="1" x14ac:dyDescent="0.35">
      <c r="A56" s="139"/>
      <c r="B56" s="149"/>
      <c r="C56" s="286" t="s">
        <v>256</v>
      </c>
      <c r="D56" s="287"/>
      <c r="E56" s="142"/>
      <c r="F56" s="142"/>
      <c r="G56" s="142"/>
      <c r="H56" s="142"/>
      <c r="I56" s="160"/>
      <c r="J56" s="139"/>
      <c r="K56" s="175"/>
      <c r="L56" s="175"/>
      <c r="M56" s="179"/>
      <c r="N56" s="179"/>
      <c r="O56" s="175"/>
      <c r="P56" s="175"/>
      <c r="Q56" s="175"/>
    </row>
    <row r="57" spans="1:18" s="182" customFormat="1" ht="77.5" x14ac:dyDescent="0.35">
      <c r="A57" s="304"/>
      <c r="B57" s="185"/>
      <c r="C57" s="315"/>
      <c r="D57" s="208" t="s">
        <v>257</v>
      </c>
      <c r="E57" s="186" t="s">
        <v>404</v>
      </c>
      <c r="F57" s="187">
        <v>1</v>
      </c>
      <c r="G57" s="188">
        <v>1</v>
      </c>
      <c r="H57" s="189">
        <f t="shared" ref="H57:H58" si="10">F57*G57</f>
        <v>1</v>
      </c>
      <c r="I57" s="198" t="s">
        <v>258</v>
      </c>
      <c r="J57" s="304"/>
      <c r="K57" s="192"/>
      <c r="L57" s="192"/>
      <c r="M57" s="307"/>
      <c r="N57" s="307"/>
      <c r="O57" s="192"/>
      <c r="P57" s="192"/>
      <c r="Q57" s="192"/>
    </row>
    <row r="58" spans="1:18" s="182" customFormat="1" ht="168" customHeight="1" x14ac:dyDescent="0.35">
      <c r="A58" s="304"/>
      <c r="B58" s="185"/>
      <c r="C58" s="195"/>
      <c r="D58" s="316" t="s">
        <v>367</v>
      </c>
      <c r="E58" s="186" t="s">
        <v>405</v>
      </c>
      <c r="F58" s="187">
        <v>1</v>
      </c>
      <c r="G58" s="188">
        <v>1</v>
      </c>
      <c r="H58" s="189">
        <f t="shared" si="10"/>
        <v>1</v>
      </c>
      <c r="I58" s="207" t="s">
        <v>259</v>
      </c>
      <c r="J58" s="314"/>
      <c r="K58" s="192"/>
      <c r="L58" s="192"/>
      <c r="M58" s="307"/>
      <c r="N58" s="307"/>
      <c r="O58" s="192"/>
      <c r="P58" s="192"/>
      <c r="Q58" s="192"/>
    </row>
    <row r="59" spans="1:18" s="144" customFormat="1" ht="23.25" customHeight="1" x14ac:dyDescent="0.45">
      <c r="A59" s="278" t="s">
        <v>92</v>
      </c>
      <c r="B59" s="279"/>
      <c r="C59" s="279"/>
      <c r="D59" s="279"/>
      <c r="E59" s="279"/>
      <c r="F59" s="165"/>
      <c r="G59" s="165"/>
      <c r="H59" s="165"/>
      <c r="I59" s="165"/>
      <c r="J59" s="143"/>
      <c r="K59" s="175"/>
      <c r="L59" s="175"/>
      <c r="M59" s="179"/>
      <c r="N59" s="179"/>
      <c r="O59" s="175"/>
      <c r="P59" s="175"/>
      <c r="Q59" s="175"/>
      <c r="R59"/>
    </row>
    <row r="60" spans="1:18" ht="56.4" customHeight="1" x14ac:dyDescent="0.35">
      <c r="A60" s="139"/>
      <c r="B60" s="293" t="s">
        <v>184</v>
      </c>
      <c r="C60" s="294"/>
      <c r="D60" s="294"/>
      <c r="E60" s="294"/>
      <c r="F60" s="166"/>
      <c r="G60" s="166"/>
      <c r="H60" s="166"/>
      <c r="I60" s="170">
        <f>AVERAGEIF(H61:H63,"&gt;0")</f>
        <v>1</v>
      </c>
      <c r="J60" s="139"/>
      <c r="K60" s="175"/>
      <c r="L60" s="175"/>
      <c r="M60" s="179"/>
      <c r="N60" s="179"/>
      <c r="O60" s="175"/>
      <c r="P60" s="175"/>
      <c r="Q60" s="175"/>
    </row>
    <row r="61" spans="1:18" s="182" customFormat="1" ht="180" customHeight="1" x14ac:dyDescent="0.35">
      <c r="A61" s="304"/>
      <c r="B61" s="317"/>
      <c r="C61" s="305" t="s">
        <v>260</v>
      </c>
      <c r="D61" s="306"/>
      <c r="E61" s="186" t="s">
        <v>406</v>
      </c>
      <c r="F61" s="187">
        <f>F5</f>
        <v>1</v>
      </c>
      <c r="G61" s="188">
        <v>1</v>
      </c>
      <c r="H61" s="189">
        <f>F61*G61</f>
        <v>1</v>
      </c>
      <c r="I61" s="190" t="s">
        <v>261</v>
      </c>
      <c r="J61" s="304"/>
      <c r="K61" s="192"/>
      <c r="L61" s="192"/>
      <c r="M61" s="307"/>
      <c r="N61" s="307"/>
      <c r="O61" s="192"/>
      <c r="P61" s="192"/>
      <c r="Q61" s="192"/>
    </row>
    <row r="62" spans="1:18" s="182" customFormat="1" ht="116" x14ac:dyDescent="0.35">
      <c r="A62" s="304"/>
      <c r="B62" s="317"/>
      <c r="C62" s="305" t="s">
        <v>241</v>
      </c>
      <c r="D62" s="306"/>
      <c r="E62" s="186" t="s">
        <v>407</v>
      </c>
      <c r="F62" s="187">
        <f>F43</f>
        <v>1</v>
      </c>
      <c r="G62" s="188">
        <v>1</v>
      </c>
      <c r="H62" s="189">
        <f>F62*G62</f>
        <v>1</v>
      </c>
      <c r="I62" s="190" t="s">
        <v>366</v>
      </c>
      <c r="J62" s="314"/>
      <c r="K62" s="192"/>
      <c r="L62" s="192"/>
      <c r="M62" s="307"/>
      <c r="N62" s="307"/>
      <c r="O62" s="192"/>
      <c r="P62" s="192"/>
      <c r="Q62" s="192"/>
    </row>
    <row r="63" spans="1:18" s="182" customFormat="1" ht="202" customHeight="1" x14ac:dyDescent="0.35">
      <c r="A63" s="304"/>
      <c r="B63" s="317"/>
      <c r="C63" s="305" t="s">
        <v>262</v>
      </c>
      <c r="D63" s="306"/>
      <c r="E63" s="186" t="s">
        <v>408</v>
      </c>
      <c r="F63" s="187">
        <v>1</v>
      </c>
      <c r="G63" s="188">
        <v>1</v>
      </c>
      <c r="H63" s="189">
        <f t="shared" ref="H63" si="11">F63*G63</f>
        <v>1</v>
      </c>
      <c r="I63" s="190" t="s">
        <v>263</v>
      </c>
      <c r="J63" s="304"/>
      <c r="K63" s="192"/>
      <c r="L63" s="192"/>
      <c r="M63" s="307"/>
      <c r="N63" s="307"/>
      <c r="O63" s="192"/>
      <c r="P63" s="192"/>
      <c r="Q63" s="192"/>
    </row>
    <row r="64" spans="1:18" x14ac:dyDescent="0.35">
      <c r="A64" s="139"/>
      <c r="B64" s="139"/>
      <c r="C64" s="139"/>
      <c r="D64" s="139"/>
      <c r="E64" s="139"/>
      <c r="F64" s="139"/>
      <c r="G64" s="139"/>
      <c r="H64" s="139"/>
      <c r="I64" s="139"/>
      <c r="J64" s="139"/>
    </row>
  </sheetData>
  <customSheetViews>
    <customSheetView guid="{76686054-FB4D-4FEC-BFB1-B4B4AB4B4565}" scale="70" hiddenRows="1" hiddenColumns="1" topLeftCell="B52">
      <selection activeCell="E71" sqref="E71"/>
      <pageMargins left="0.7" right="0.7" top="0.75" bottom="0.75" header="0.3" footer="0.3"/>
      <pageSetup orientation="portrait" r:id="rId1"/>
    </customSheetView>
  </customSheetViews>
  <mergeCells count="44">
    <mergeCell ref="C36:D36"/>
    <mergeCell ref="A37:D37"/>
    <mergeCell ref="C49:D49"/>
    <mergeCell ref="C50:D50"/>
    <mergeCell ref="C48:D48"/>
    <mergeCell ref="B38:E38"/>
    <mergeCell ref="C40:D40"/>
    <mergeCell ref="C39:D39"/>
    <mergeCell ref="B45:E45"/>
    <mergeCell ref="C47:D47"/>
    <mergeCell ref="C46:D46"/>
    <mergeCell ref="B41:E41"/>
    <mergeCell ref="A44:E44"/>
    <mergeCell ref="C43:D43"/>
    <mergeCell ref="C42:D42"/>
    <mergeCell ref="C51:D51"/>
    <mergeCell ref="C62:D62"/>
    <mergeCell ref="C61:D61"/>
    <mergeCell ref="C63:D63"/>
    <mergeCell ref="A59:E59"/>
    <mergeCell ref="B60:E60"/>
    <mergeCell ref="C53:D53"/>
    <mergeCell ref="B52:E52"/>
    <mergeCell ref="C56:D56"/>
    <mergeCell ref="C30:D30"/>
    <mergeCell ref="C32:D32"/>
    <mergeCell ref="C35:D35"/>
    <mergeCell ref="B31:E31"/>
    <mergeCell ref="C33:D33"/>
    <mergeCell ref="C34:D34"/>
    <mergeCell ref="B29:E29"/>
    <mergeCell ref="A3:D3"/>
    <mergeCell ref="C5:D5"/>
    <mergeCell ref="C17:D17"/>
    <mergeCell ref="B4:E4"/>
    <mergeCell ref="C25:D25"/>
    <mergeCell ref="C26:D26"/>
    <mergeCell ref="C27:D27"/>
    <mergeCell ref="C28:D28"/>
    <mergeCell ref="B24:E24"/>
    <mergeCell ref="E3:I3"/>
    <mergeCell ref="C6:E6"/>
    <mergeCell ref="C11:E11"/>
    <mergeCell ref="C21:D21"/>
  </mergeCells>
  <conditionalFormatting sqref="R64">
    <cfRule type="cellIs" dxfId="1" priority="8" operator="greaterThan">
      <formula>0</formula>
    </cfRule>
  </conditionalFormatting>
  <conditionalFormatting sqref="R5:R63">
    <cfRule type="cellIs" dxfId="0" priority="1" operator="greaterThan">
      <formula>2</formula>
    </cfRule>
  </conditionalFormatting>
  <dataValidations count="3">
    <dataValidation type="list" allowBlank="1" showInputMessage="1" showErrorMessage="1" sqref="M5:N5" xr:uid="{00000000-0002-0000-0200-000000000000}">
      <formula1>$L$5:$N$5</formula1>
    </dataValidation>
    <dataValidation type="whole" allowBlank="1" showInputMessage="1" showErrorMessage="1" errorTitle="Wrong Number" error="Please enter a whole number between 1 and 9" sqref="F5 F12:F16 F30 F7:F10 F39:F40 F54:F55 F25:F28 F32:F36 F46:F51 F61:F63 F18:F20 F42:F43 F57:F58 F22:F23" xr:uid="{00000000-0002-0000-0200-000001000000}">
      <formula1>1</formula1>
      <formula2>9</formula2>
    </dataValidation>
    <dataValidation type="decimal" allowBlank="1" showInputMessage="1" showErrorMessage="1" errorTitle="Wrong Number" error="Enter a number between 0 and 1" sqref="G5 G12:G16 G30 G7:G10 G39:G40 G54:G55 G25:G28 G32:G36 G46:G51 G61:G63 G18:G20 G42:G43 G57:G58 G22:G23" xr:uid="{00000000-0002-0000-0200-000002000000}">
      <formula1>0</formula1>
      <formula2>1</formula2>
    </dataValidation>
  </dataValidations>
  <pageMargins left="0.7" right="0.7" top="0.75" bottom="0.75" header="0.3" footer="0.3"/>
  <pageSetup orientation="portrait"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8"/>
  <sheetViews>
    <sheetView topLeftCell="A16" zoomScale="85" zoomScaleNormal="85" workbookViewId="0">
      <selection activeCell="E18" sqref="E18"/>
    </sheetView>
  </sheetViews>
  <sheetFormatPr defaultColWidth="8.81640625" defaultRowHeight="14.5" x14ac:dyDescent="0.35"/>
  <cols>
    <col min="1" max="1" width="5.36328125" customWidth="1"/>
    <col min="2" max="2" width="6.453125" customWidth="1"/>
    <col min="3" max="3" width="5.453125" customWidth="1"/>
    <col min="4" max="5" width="75.453125" customWidth="1"/>
    <col min="6" max="8" width="14.453125" customWidth="1"/>
    <col min="9" max="9" width="75" customWidth="1"/>
    <col min="10" max="10" width="8.81640625" customWidth="1"/>
  </cols>
  <sheetData>
    <row r="1" spans="1:10" s="183" customFormat="1" ht="23.5" x14ac:dyDescent="0.55000000000000004">
      <c r="A1" s="141"/>
      <c r="B1" s="141"/>
      <c r="C1" s="141"/>
      <c r="D1" s="140" t="s">
        <v>68</v>
      </c>
      <c r="E1" s="140" t="s">
        <v>70</v>
      </c>
      <c r="F1" s="140" t="s">
        <v>69</v>
      </c>
      <c r="G1" s="140" t="s">
        <v>84</v>
      </c>
      <c r="H1" s="140" t="s">
        <v>85</v>
      </c>
      <c r="I1" s="157" t="s">
        <v>138</v>
      </c>
      <c r="J1" s="141"/>
    </row>
    <row r="2" spans="1:10" s="183" customFormat="1" ht="95" customHeight="1" thickBot="1" x14ac:dyDescent="0.6">
      <c r="A2" s="145"/>
      <c r="B2" s="145"/>
      <c r="C2" s="145"/>
      <c r="D2" s="146"/>
      <c r="E2" s="146"/>
      <c r="F2" s="147" t="s">
        <v>171</v>
      </c>
      <c r="G2" s="147" t="s">
        <v>172</v>
      </c>
      <c r="H2" s="147" t="s">
        <v>170</v>
      </c>
      <c r="I2" s="158"/>
      <c r="J2" s="141"/>
    </row>
    <row r="3" spans="1:10" s="320" customFormat="1" ht="91" customHeight="1" thickTop="1" x14ac:dyDescent="0.55000000000000004">
      <c r="A3" s="298" t="s">
        <v>264</v>
      </c>
      <c r="B3" s="299"/>
      <c r="C3" s="299"/>
      <c r="D3" s="299"/>
      <c r="E3" s="318" t="s">
        <v>265</v>
      </c>
      <c r="F3" s="318"/>
      <c r="G3" s="318"/>
      <c r="H3" s="318"/>
      <c r="I3" s="318"/>
      <c r="J3" s="319"/>
    </row>
    <row r="4" spans="1:10" ht="58" customHeight="1" x14ac:dyDescent="0.35">
      <c r="A4" s="138"/>
      <c r="B4" s="284" t="s">
        <v>266</v>
      </c>
      <c r="C4" s="285"/>
      <c r="D4" s="285"/>
      <c r="E4" s="285"/>
      <c r="F4" s="167"/>
      <c r="G4" s="167"/>
      <c r="H4" s="167"/>
      <c r="I4" s="170">
        <f>AVERAGEIF(H5:H7,"&gt;0")</f>
        <v>1</v>
      </c>
      <c r="J4" s="141"/>
    </row>
    <row r="5" spans="1:10" s="182" customFormat="1" ht="196" customHeight="1" x14ac:dyDescent="0.35">
      <c r="A5" s="304"/>
      <c r="B5" s="185"/>
      <c r="C5" s="280" t="s">
        <v>273</v>
      </c>
      <c r="D5" s="281"/>
      <c r="E5" s="186" t="s">
        <v>409</v>
      </c>
      <c r="F5" s="321">
        <v>1</v>
      </c>
      <c r="G5" s="322">
        <v>1</v>
      </c>
      <c r="H5" s="323">
        <f>F5*G5</f>
        <v>1</v>
      </c>
      <c r="I5" s="190" t="s">
        <v>267</v>
      </c>
      <c r="J5" s="191"/>
    </row>
    <row r="6" spans="1:10" s="182" customFormat="1" ht="143.5" customHeight="1" x14ac:dyDescent="0.35">
      <c r="A6" s="304"/>
      <c r="B6" s="185"/>
      <c r="C6" s="305" t="s">
        <v>268</v>
      </c>
      <c r="D6" s="306"/>
      <c r="E6" s="186" t="s">
        <v>410</v>
      </c>
      <c r="F6" s="321">
        <v>1</v>
      </c>
      <c r="G6" s="322">
        <v>1</v>
      </c>
      <c r="H6" s="323">
        <f t="shared" ref="H6:H7" si="0">F6*G6</f>
        <v>1</v>
      </c>
      <c r="I6" s="190" t="s">
        <v>269</v>
      </c>
      <c r="J6" s="191"/>
    </row>
    <row r="7" spans="1:10" s="182" customFormat="1" ht="107.5" customHeight="1" x14ac:dyDescent="0.35">
      <c r="A7" s="304"/>
      <c r="B7" s="185"/>
      <c r="C7" s="305" t="s">
        <v>270</v>
      </c>
      <c r="D7" s="306"/>
      <c r="E7" s="186" t="s">
        <v>411</v>
      </c>
      <c r="F7" s="321">
        <v>1</v>
      </c>
      <c r="G7" s="322">
        <v>1</v>
      </c>
      <c r="H7" s="323">
        <f t="shared" si="0"/>
        <v>1</v>
      </c>
      <c r="I7" s="190" t="s">
        <v>271</v>
      </c>
      <c r="J7" s="191"/>
    </row>
    <row r="8" spans="1:10" ht="57" customHeight="1" x14ac:dyDescent="0.35">
      <c r="A8" s="138"/>
      <c r="B8" s="284" t="s">
        <v>272</v>
      </c>
      <c r="C8" s="285"/>
      <c r="D8" s="285"/>
      <c r="E8" s="285"/>
      <c r="F8" s="167"/>
      <c r="G8" s="167"/>
      <c r="H8" s="167"/>
      <c r="I8" s="170">
        <f>AVERAGEIF(H9:H11,"&gt;0")</f>
        <v>1</v>
      </c>
      <c r="J8" s="141"/>
    </row>
    <row r="9" spans="1:10" s="182" customFormat="1" ht="187.5" customHeight="1" x14ac:dyDescent="0.35">
      <c r="A9" s="304"/>
      <c r="B9" s="185"/>
      <c r="C9" s="280" t="s">
        <v>273</v>
      </c>
      <c r="D9" s="281"/>
      <c r="E9" s="186" t="s">
        <v>409</v>
      </c>
      <c r="F9" s="321">
        <v>1</v>
      </c>
      <c r="G9" s="322">
        <v>1</v>
      </c>
      <c r="H9" s="323">
        <f>F9*G9</f>
        <v>1</v>
      </c>
      <c r="I9" s="190" t="s">
        <v>274</v>
      </c>
      <c r="J9" s="191"/>
    </row>
    <row r="10" spans="1:10" s="182" customFormat="1" ht="273.5" customHeight="1" x14ac:dyDescent="0.35">
      <c r="A10" s="304"/>
      <c r="B10" s="185"/>
      <c r="C10" s="305" t="s">
        <v>275</v>
      </c>
      <c r="D10" s="306"/>
      <c r="E10" s="186" t="s">
        <v>412</v>
      </c>
      <c r="F10" s="321">
        <v>1</v>
      </c>
      <c r="G10" s="322">
        <v>1</v>
      </c>
      <c r="H10" s="323">
        <f>F10*G10</f>
        <v>1</v>
      </c>
      <c r="I10" s="324" t="s">
        <v>368</v>
      </c>
      <c r="J10" s="191"/>
    </row>
    <row r="11" spans="1:10" s="182" customFormat="1" ht="117" customHeight="1" x14ac:dyDescent="0.35">
      <c r="A11" s="304"/>
      <c r="B11" s="185"/>
      <c r="C11" s="305" t="s">
        <v>241</v>
      </c>
      <c r="D11" s="306"/>
      <c r="E11" s="186" t="s">
        <v>407</v>
      </c>
      <c r="F11" s="321">
        <v>1</v>
      </c>
      <c r="G11" s="322">
        <v>1</v>
      </c>
      <c r="H11" s="323">
        <f>F11*G11</f>
        <v>1</v>
      </c>
      <c r="I11" s="324" t="s">
        <v>276</v>
      </c>
      <c r="J11" s="314"/>
    </row>
    <row r="12" spans="1:10" ht="41.25" customHeight="1" x14ac:dyDescent="0.35">
      <c r="A12" s="138"/>
      <c r="B12" s="284" t="s">
        <v>277</v>
      </c>
      <c r="C12" s="285"/>
      <c r="D12" s="285"/>
      <c r="E12" s="285"/>
      <c r="F12" s="167"/>
      <c r="G12" s="167"/>
      <c r="H12" s="167"/>
      <c r="I12" s="170">
        <f>H13</f>
        <v>1</v>
      </c>
      <c r="J12" s="141"/>
    </row>
    <row r="13" spans="1:10" s="182" customFormat="1" ht="147" customHeight="1" x14ac:dyDescent="0.35">
      <c r="A13" s="304"/>
      <c r="B13" s="185"/>
      <c r="C13" s="305" t="s">
        <v>278</v>
      </c>
      <c r="D13" s="306"/>
      <c r="E13" s="186" t="s">
        <v>413</v>
      </c>
      <c r="F13" s="321">
        <v>1</v>
      </c>
      <c r="G13" s="322">
        <v>1</v>
      </c>
      <c r="H13" s="323">
        <f>F13*G13</f>
        <v>1</v>
      </c>
      <c r="I13" s="190" t="s">
        <v>279</v>
      </c>
      <c r="J13" s="191"/>
    </row>
    <row r="14" spans="1:10" ht="62.5" customHeight="1" x14ac:dyDescent="0.35">
      <c r="A14" s="138"/>
      <c r="B14" s="284" t="s">
        <v>280</v>
      </c>
      <c r="C14" s="285"/>
      <c r="D14" s="285"/>
      <c r="E14" s="285"/>
      <c r="F14" s="167"/>
      <c r="G14" s="167"/>
      <c r="H14" s="167"/>
      <c r="I14" s="170">
        <f>AVERAGEIF(H15:H17,"&gt;0")</f>
        <v>1</v>
      </c>
      <c r="J14" s="141"/>
    </row>
    <row r="15" spans="1:10" s="182" customFormat="1" ht="186" customHeight="1" x14ac:dyDescent="0.35">
      <c r="A15" s="304"/>
      <c r="B15" s="185"/>
      <c r="C15" s="280" t="s">
        <v>273</v>
      </c>
      <c r="D15" s="281"/>
      <c r="E15" s="186" t="s">
        <v>409</v>
      </c>
      <c r="F15" s="321">
        <v>1</v>
      </c>
      <c r="G15" s="322">
        <v>1</v>
      </c>
      <c r="H15" s="323">
        <f>F15*G15</f>
        <v>1</v>
      </c>
      <c r="I15" s="190" t="s">
        <v>281</v>
      </c>
      <c r="J15" s="191"/>
    </row>
    <row r="16" spans="1:10" s="182" customFormat="1" ht="272.5" customHeight="1" x14ac:dyDescent="0.35">
      <c r="A16" s="304"/>
      <c r="B16" s="185"/>
      <c r="C16" s="305" t="s">
        <v>282</v>
      </c>
      <c r="D16" s="306"/>
      <c r="E16" s="186" t="s">
        <v>393</v>
      </c>
      <c r="F16" s="321">
        <v>1</v>
      </c>
      <c r="G16" s="322">
        <v>1</v>
      </c>
      <c r="H16" s="323">
        <f>F16*G16</f>
        <v>1</v>
      </c>
      <c r="I16" s="324" t="s">
        <v>283</v>
      </c>
      <c r="J16" s="191"/>
    </row>
    <row r="17" spans="1:10" s="182" customFormat="1" ht="171.5" customHeight="1" x14ac:dyDescent="0.35">
      <c r="A17" s="304"/>
      <c r="B17" s="185"/>
      <c r="C17" s="305" t="s">
        <v>241</v>
      </c>
      <c r="D17" s="306"/>
      <c r="E17" s="186" t="s">
        <v>407</v>
      </c>
      <c r="F17" s="321">
        <v>1</v>
      </c>
      <c r="G17" s="322">
        <v>1</v>
      </c>
      <c r="H17" s="323">
        <f>F17*G17</f>
        <v>1</v>
      </c>
      <c r="I17" s="324" t="s">
        <v>284</v>
      </c>
      <c r="J17" s="314"/>
    </row>
    <row r="18" spans="1:10" x14ac:dyDescent="0.35">
      <c r="A18" s="139"/>
      <c r="B18" s="139"/>
      <c r="C18" s="139"/>
      <c r="D18" s="139"/>
      <c r="E18" s="139"/>
      <c r="F18" s="139"/>
      <c r="G18" s="139"/>
      <c r="H18" s="139"/>
      <c r="I18" s="139"/>
      <c r="J18" s="139"/>
    </row>
  </sheetData>
  <customSheetViews>
    <customSheetView guid="{76686054-FB4D-4FEC-BFB1-B4B4AB4B4565}" scale="80" hiddenRows="1" hiddenColumns="1" topLeftCell="A117">
      <selection activeCell="D126" sqref="D126"/>
      <pageMargins left="0.7" right="0.7" top="0.75" bottom="0.75" header="0.3" footer="0.3"/>
    </customSheetView>
  </customSheetViews>
  <mergeCells count="16">
    <mergeCell ref="C17:D17"/>
    <mergeCell ref="C16:D16"/>
    <mergeCell ref="C15:D15"/>
    <mergeCell ref="B14:E14"/>
    <mergeCell ref="B8:E8"/>
    <mergeCell ref="C13:D13"/>
    <mergeCell ref="B12:E12"/>
    <mergeCell ref="B4:E4"/>
    <mergeCell ref="C9:D9"/>
    <mergeCell ref="C10:D10"/>
    <mergeCell ref="C11:D11"/>
    <mergeCell ref="C5:D5"/>
    <mergeCell ref="C6:D6"/>
    <mergeCell ref="C7:D7"/>
    <mergeCell ref="A3:D3"/>
    <mergeCell ref="E3:I3"/>
  </mergeCells>
  <dataValidations count="2">
    <dataValidation type="decimal" allowBlank="1" showInputMessage="1" showErrorMessage="1" errorTitle="Wrong Number" error="Enter a number between 0 and 1" sqref="G5:G7 G13 G9:G11 G15:G17" xr:uid="{00000000-0002-0000-0300-000000000000}">
      <formula1>0</formula1>
      <formula2>1</formula2>
    </dataValidation>
    <dataValidation type="whole" allowBlank="1" showInputMessage="1" showErrorMessage="1" errorTitle="Wrong Number" error="Please enter a whole number between 1 and 9" sqref="F5:F7 F9:F11 F13 F15:F17" xr:uid="{00000000-0002-0000-0300-000001000000}">
      <formula1>1</formula1>
      <formula2>9</formula2>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6"/>
  <sheetViews>
    <sheetView zoomScale="84" zoomScaleNormal="84" workbookViewId="0">
      <selection activeCell="E5" sqref="E5"/>
    </sheetView>
  </sheetViews>
  <sheetFormatPr defaultColWidth="8.81640625" defaultRowHeight="14.5" x14ac:dyDescent="0.35"/>
  <cols>
    <col min="1" max="1" width="5.36328125" customWidth="1"/>
    <col min="2" max="2" width="6.453125" customWidth="1"/>
    <col min="3" max="3" width="5.453125" customWidth="1"/>
    <col min="4" max="5" width="75.453125" customWidth="1"/>
    <col min="6" max="8" width="14.453125" customWidth="1"/>
    <col min="9" max="9" width="75" customWidth="1"/>
    <col min="10" max="10" width="8.81640625" customWidth="1"/>
  </cols>
  <sheetData>
    <row r="1" spans="1:10" s="183" customFormat="1" ht="23.5" x14ac:dyDescent="0.55000000000000004">
      <c r="A1" s="141"/>
      <c r="B1" s="141"/>
      <c r="C1" s="141"/>
      <c r="D1" s="140" t="s">
        <v>68</v>
      </c>
      <c r="E1" s="140" t="s">
        <v>70</v>
      </c>
      <c r="F1" s="140" t="s">
        <v>69</v>
      </c>
      <c r="G1" s="140" t="s">
        <v>84</v>
      </c>
      <c r="H1" s="140" t="s">
        <v>85</v>
      </c>
      <c r="I1" s="157" t="s">
        <v>138</v>
      </c>
      <c r="J1" s="141"/>
    </row>
    <row r="2" spans="1:10" s="183" customFormat="1" ht="95" customHeight="1" thickBot="1" x14ac:dyDescent="0.6">
      <c r="A2" s="145"/>
      <c r="B2" s="145"/>
      <c r="C2" s="145"/>
      <c r="D2" s="146"/>
      <c r="E2" s="146"/>
      <c r="F2" s="147" t="s">
        <v>171</v>
      </c>
      <c r="G2" s="147" t="s">
        <v>172</v>
      </c>
      <c r="H2" s="147" t="s">
        <v>170</v>
      </c>
      <c r="I2" s="158"/>
      <c r="J2" s="141"/>
    </row>
    <row r="3" spans="1:10" ht="24" customHeight="1" thickTop="1" x14ac:dyDescent="0.35">
      <c r="A3" s="278" t="s">
        <v>93</v>
      </c>
      <c r="B3" s="279"/>
      <c r="C3" s="279"/>
      <c r="D3" s="279"/>
      <c r="E3" s="165"/>
      <c r="F3" s="141"/>
      <c r="G3" s="141"/>
      <c r="H3" s="141"/>
      <c r="I3" s="141"/>
      <c r="J3" s="141"/>
    </row>
    <row r="4" spans="1:10" ht="18.5" x14ac:dyDescent="0.35">
      <c r="A4" s="138"/>
      <c r="B4" s="171"/>
      <c r="C4" s="297"/>
      <c r="D4" s="297"/>
      <c r="E4" s="297"/>
      <c r="F4" s="167"/>
      <c r="G4" s="167"/>
      <c r="H4" s="167"/>
      <c r="I4" s="168">
        <f>H5</f>
        <v>1</v>
      </c>
      <c r="J4" s="141"/>
    </row>
    <row r="5" spans="1:10" s="182" customFormat="1" ht="170" customHeight="1" x14ac:dyDescent="0.35">
      <c r="A5" s="304"/>
      <c r="B5" s="185"/>
      <c r="C5" s="305" t="s">
        <v>285</v>
      </c>
      <c r="D5" s="306"/>
      <c r="E5" s="186" t="s">
        <v>413</v>
      </c>
      <c r="F5" s="321">
        <v>1</v>
      </c>
      <c r="G5" s="322">
        <v>1</v>
      </c>
      <c r="H5" s="323">
        <f t="shared" ref="H5" si="0">F5*G5</f>
        <v>1</v>
      </c>
      <c r="I5" s="190" t="s">
        <v>286</v>
      </c>
      <c r="J5" s="191"/>
    </row>
    <row r="6" spans="1:10" x14ac:dyDescent="0.35">
      <c r="A6" s="141"/>
      <c r="B6" s="141"/>
      <c r="C6" s="141"/>
      <c r="D6" s="141"/>
      <c r="E6" s="141"/>
      <c r="F6" s="141"/>
      <c r="G6" s="141"/>
      <c r="H6" s="141"/>
      <c r="I6" s="141"/>
      <c r="J6" s="141"/>
    </row>
  </sheetData>
  <customSheetViews>
    <customSheetView guid="{76686054-FB4D-4FEC-BFB1-B4B4AB4B4565}" scale="80" hiddenRows="1" hiddenColumns="1" topLeftCell="F1">
      <selection activeCell="K1" sqref="K1:P1048576"/>
      <pageMargins left="0.7" right="0.7" top="0.75" bottom="0.75" header="0.3" footer="0.3"/>
    </customSheetView>
  </customSheetViews>
  <mergeCells count="3">
    <mergeCell ref="A3:D3"/>
    <mergeCell ref="C5:D5"/>
    <mergeCell ref="C4:E4"/>
  </mergeCells>
  <dataValidations count="2">
    <dataValidation type="whole" allowBlank="1" showInputMessage="1" showErrorMessage="1" errorTitle="Wrong Number" error="Please enter a whole number between 1 and 9" sqref="F5" xr:uid="{00000000-0002-0000-0400-000000000000}">
      <formula1>1</formula1>
      <formula2>9</formula2>
    </dataValidation>
    <dataValidation type="decimal" allowBlank="1" showInputMessage="1" showErrorMessage="1" errorTitle="Wrong Number" error="Enter a number between 0 and 1" sqref="G5" xr:uid="{00000000-0002-0000-0400-000001000000}">
      <formula1>0</formula1>
      <formula2>1</formula2>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J13"/>
  <sheetViews>
    <sheetView topLeftCell="A9" zoomScale="85" zoomScaleNormal="85" workbookViewId="0">
      <selection activeCell="E12" sqref="E12"/>
    </sheetView>
  </sheetViews>
  <sheetFormatPr defaultColWidth="8.81640625" defaultRowHeight="14.5" x14ac:dyDescent="0.35"/>
  <cols>
    <col min="1" max="1" width="5.36328125" customWidth="1"/>
    <col min="2" max="2" width="6.453125" customWidth="1"/>
    <col min="3" max="3" width="5.453125" customWidth="1"/>
    <col min="4" max="5" width="75.453125" customWidth="1"/>
    <col min="6" max="8" width="14.453125" customWidth="1"/>
    <col min="9" max="9" width="75" customWidth="1"/>
    <col min="10" max="10" width="8.81640625" customWidth="1"/>
  </cols>
  <sheetData>
    <row r="1" spans="1:10" s="183" customFormat="1" ht="23.5" x14ac:dyDescent="0.55000000000000004">
      <c r="A1" s="141"/>
      <c r="B1" s="141"/>
      <c r="C1" s="141"/>
      <c r="D1" s="140" t="s">
        <v>68</v>
      </c>
      <c r="E1" s="140" t="s">
        <v>70</v>
      </c>
      <c r="F1" s="140" t="s">
        <v>69</v>
      </c>
      <c r="G1" s="140" t="s">
        <v>84</v>
      </c>
      <c r="H1" s="140" t="s">
        <v>85</v>
      </c>
      <c r="I1" s="157" t="s">
        <v>138</v>
      </c>
      <c r="J1" s="141"/>
    </row>
    <row r="2" spans="1:10" s="183" customFormat="1" ht="95" customHeight="1" thickBot="1" x14ac:dyDescent="0.6">
      <c r="A2" s="145"/>
      <c r="B2" s="145"/>
      <c r="C2" s="145"/>
      <c r="D2" s="146"/>
      <c r="E2" s="146"/>
      <c r="F2" s="147" t="s">
        <v>171</v>
      </c>
      <c r="G2" s="147" t="s">
        <v>172</v>
      </c>
      <c r="H2" s="147" t="s">
        <v>170</v>
      </c>
      <c r="I2" s="158"/>
      <c r="J2" s="141"/>
    </row>
    <row r="3" spans="1:10" s="320" customFormat="1" ht="86" customHeight="1" thickTop="1" x14ac:dyDescent="0.55000000000000004">
      <c r="A3" s="298" t="s">
        <v>287</v>
      </c>
      <c r="B3" s="299"/>
      <c r="C3" s="299"/>
      <c r="D3" s="299"/>
      <c r="E3" s="318" t="s">
        <v>289</v>
      </c>
      <c r="F3" s="318"/>
      <c r="G3" s="318"/>
      <c r="H3" s="318"/>
      <c r="I3" s="318"/>
      <c r="J3" s="319"/>
    </row>
    <row r="4" spans="1:10" ht="18.5" x14ac:dyDescent="0.35">
      <c r="A4" s="138"/>
      <c r="B4" s="171"/>
      <c r="C4" s="167"/>
      <c r="D4" s="167"/>
      <c r="E4" s="167"/>
      <c r="F4" s="167"/>
      <c r="G4" s="167"/>
      <c r="H4" s="167"/>
      <c r="I4" s="170">
        <f>AVERAGEIF(H5:H7,"&gt;0")</f>
        <v>1</v>
      </c>
      <c r="J4" s="141"/>
    </row>
    <row r="5" spans="1:10" s="182" customFormat="1" ht="139.5" customHeight="1" x14ac:dyDescent="0.35">
      <c r="A5" s="304"/>
      <c r="B5" s="185"/>
      <c r="C5" s="305" t="s">
        <v>291</v>
      </c>
      <c r="D5" s="306"/>
      <c r="E5" s="206" t="s">
        <v>414</v>
      </c>
      <c r="F5" s="321">
        <v>1</v>
      </c>
      <c r="G5" s="322">
        <v>1</v>
      </c>
      <c r="H5" s="323">
        <f t="shared" ref="H5:H6" si="0">F5*G5</f>
        <v>1</v>
      </c>
      <c r="I5" s="190" t="s">
        <v>292</v>
      </c>
      <c r="J5" s="191"/>
    </row>
    <row r="6" spans="1:10" s="182" customFormat="1" ht="139" customHeight="1" x14ac:dyDescent="0.35">
      <c r="A6" s="304"/>
      <c r="B6" s="185"/>
      <c r="C6" s="305" t="s">
        <v>293</v>
      </c>
      <c r="D6" s="306"/>
      <c r="E6" s="206" t="s">
        <v>415</v>
      </c>
      <c r="F6" s="321">
        <v>1</v>
      </c>
      <c r="G6" s="322">
        <v>1</v>
      </c>
      <c r="H6" s="323">
        <f t="shared" si="0"/>
        <v>1</v>
      </c>
      <c r="I6" s="190" t="s">
        <v>294</v>
      </c>
      <c r="J6" s="191"/>
    </row>
    <row r="7" spans="1:10" s="182" customFormat="1" ht="138.5" customHeight="1" x14ac:dyDescent="0.35">
      <c r="A7" s="304"/>
      <c r="B7" s="329"/>
      <c r="C7" s="330" t="s">
        <v>295</v>
      </c>
      <c r="D7" s="331"/>
      <c r="E7" s="186" t="s">
        <v>416</v>
      </c>
      <c r="F7" s="321">
        <v>1</v>
      </c>
      <c r="G7" s="322">
        <v>1</v>
      </c>
      <c r="H7" s="323">
        <f t="shared" ref="H7" si="1">F7*G7</f>
        <v>1</v>
      </c>
      <c r="I7" s="190" t="s">
        <v>147</v>
      </c>
      <c r="J7" s="191"/>
    </row>
    <row r="8" spans="1:10" s="327" customFormat="1" ht="71" customHeight="1" x14ac:dyDescent="0.35">
      <c r="A8" s="278" t="s">
        <v>288</v>
      </c>
      <c r="B8" s="325"/>
      <c r="C8" s="325"/>
      <c r="D8" s="325"/>
      <c r="E8" s="328" t="s">
        <v>290</v>
      </c>
      <c r="F8" s="328"/>
      <c r="G8" s="328"/>
      <c r="H8" s="328"/>
      <c r="I8" s="328"/>
      <c r="J8" s="326"/>
    </row>
    <row r="9" spans="1:10" ht="18.5" x14ac:dyDescent="0.35">
      <c r="A9" s="138"/>
      <c r="B9" s="171"/>
      <c r="C9" s="167"/>
      <c r="D9" s="167"/>
      <c r="E9" s="167"/>
      <c r="F9" s="167"/>
      <c r="G9" s="167"/>
      <c r="H9" s="167"/>
      <c r="I9" s="170">
        <f>AVERAGEIF(H10:H12,"&gt;0")</f>
        <v>1</v>
      </c>
      <c r="J9" s="141"/>
    </row>
    <row r="10" spans="1:10" s="182" customFormat="1" ht="77.5" x14ac:dyDescent="0.35">
      <c r="A10" s="304"/>
      <c r="B10" s="185"/>
      <c r="C10" s="305" t="s">
        <v>296</v>
      </c>
      <c r="D10" s="306"/>
      <c r="E10" s="186" t="s">
        <v>417</v>
      </c>
      <c r="F10" s="321">
        <v>1</v>
      </c>
      <c r="G10" s="322">
        <v>1</v>
      </c>
      <c r="H10" s="323">
        <f t="shared" ref="H10" si="2">F10*G10</f>
        <v>1</v>
      </c>
      <c r="I10" s="190" t="s">
        <v>297</v>
      </c>
      <c r="J10" s="191"/>
    </row>
    <row r="11" spans="1:10" s="182" customFormat="1" ht="87" customHeight="1" x14ac:dyDescent="0.35">
      <c r="A11" s="304"/>
      <c r="B11" s="185"/>
      <c r="C11" s="305" t="s">
        <v>298</v>
      </c>
      <c r="D11" s="306"/>
      <c r="E11" s="186" t="s">
        <v>418</v>
      </c>
      <c r="F11" s="321">
        <v>1</v>
      </c>
      <c r="G11" s="322">
        <v>1</v>
      </c>
      <c r="H11" s="323">
        <f>F11*G11</f>
        <v>1</v>
      </c>
      <c r="I11" s="190" t="s">
        <v>299</v>
      </c>
      <c r="J11" s="191"/>
    </row>
    <row r="12" spans="1:10" s="182" customFormat="1" ht="91.5" customHeight="1" x14ac:dyDescent="0.35">
      <c r="A12" s="304"/>
      <c r="B12" s="185"/>
      <c r="C12" s="305" t="s">
        <v>140</v>
      </c>
      <c r="D12" s="306"/>
      <c r="E12" s="186" t="s">
        <v>419</v>
      </c>
      <c r="F12" s="321">
        <v>1</v>
      </c>
      <c r="G12" s="322">
        <v>1</v>
      </c>
      <c r="H12" s="323">
        <f t="shared" ref="H12" si="3">F12*G12</f>
        <v>1</v>
      </c>
      <c r="I12" s="207" t="s">
        <v>300</v>
      </c>
      <c r="J12" s="191"/>
    </row>
    <row r="13" spans="1:10" ht="14" customHeight="1" x14ac:dyDescent="0.35">
      <c r="A13" s="141"/>
      <c r="B13" s="141"/>
      <c r="C13" s="141"/>
      <c r="D13" s="141"/>
      <c r="E13" s="141"/>
      <c r="F13" s="141"/>
      <c r="G13" s="141"/>
      <c r="H13" s="141"/>
      <c r="I13" s="141"/>
      <c r="J13" s="141"/>
    </row>
  </sheetData>
  <customSheetViews>
    <customSheetView guid="{76686054-FB4D-4FEC-BFB1-B4B4AB4B4565}" scale="80" hiddenRows="1" hiddenColumns="1" topLeftCell="F1">
      <selection activeCell="P1" sqref="K1:P1048576"/>
      <pageMargins left="0.7" right="0.7" top="0.75" bottom="0.75" header="0.3" footer="0.3"/>
    </customSheetView>
  </customSheetViews>
  <mergeCells count="10">
    <mergeCell ref="C11:D11"/>
    <mergeCell ref="C12:D12"/>
    <mergeCell ref="C5:D5"/>
    <mergeCell ref="C6:D6"/>
    <mergeCell ref="C10:D10"/>
    <mergeCell ref="C7:D7"/>
    <mergeCell ref="A3:D3"/>
    <mergeCell ref="E3:I3"/>
    <mergeCell ref="E8:I8"/>
    <mergeCell ref="A8:D8"/>
  </mergeCells>
  <dataValidations count="2">
    <dataValidation type="decimal" allowBlank="1" showInputMessage="1" showErrorMessage="1" errorTitle="Wrong Number" error="Enter a number between 0 and 1" sqref="G10:G12 G5:G7" xr:uid="{00000000-0002-0000-0500-000000000000}">
      <formula1>0</formula1>
      <formula2>1</formula2>
    </dataValidation>
    <dataValidation type="whole" allowBlank="1" showInputMessage="1" showErrorMessage="1" errorTitle="Wrong Number" error="Please enter a whole number between 1 and 9" sqref="F10:F12 F5:F7" xr:uid="{00000000-0002-0000-0500-000001000000}">
      <formula1>1</formula1>
      <formula2>9</formula2>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J13"/>
  <sheetViews>
    <sheetView topLeftCell="A7" zoomScale="85" zoomScaleNormal="85" workbookViewId="0">
      <selection activeCell="E17" sqref="E17"/>
    </sheetView>
  </sheetViews>
  <sheetFormatPr defaultColWidth="8.81640625" defaultRowHeight="14.5" x14ac:dyDescent="0.35"/>
  <cols>
    <col min="1" max="1" width="5.36328125" customWidth="1"/>
    <col min="2" max="2" width="6.453125" customWidth="1"/>
    <col min="3" max="3" width="5.453125" customWidth="1"/>
    <col min="4" max="5" width="75.453125" customWidth="1"/>
    <col min="6" max="8" width="14.453125" customWidth="1"/>
    <col min="9" max="9" width="75" customWidth="1"/>
    <col min="10" max="10" width="8.81640625" customWidth="1"/>
  </cols>
  <sheetData>
    <row r="1" spans="1:10" s="183" customFormat="1" ht="23.5" x14ac:dyDescent="0.55000000000000004">
      <c r="A1" s="141"/>
      <c r="B1" s="141"/>
      <c r="C1" s="141"/>
      <c r="D1" s="140" t="s">
        <v>68</v>
      </c>
      <c r="E1" s="140" t="s">
        <v>70</v>
      </c>
      <c r="F1" s="140" t="s">
        <v>69</v>
      </c>
      <c r="G1" s="140" t="s">
        <v>84</v>
      </c>
      <c r="H1" s="140" t="s">
        <v>85</v>
      </c>
      <c r="I1" s="157" t="s">
        <v>138</v>
      </c>
      <c r="J1" s="141"/>
    </row>
    <row r="2" spans="1:10" s="183" customFormat="1" ht="95" customHeight="1" thickBot="1" x14ac:dyDescent="0.6">
      <c r="A2" s="145"/>
      <c r="B2" s="145"/>
      <c r="C2" s="145"/>
      <c r="D2" s="146"/>
      <c r="E2" s="146"/>
      <c r="F2" s="147" t="s">
        <v>171</v>
      </c>
      <c r="G2" s="147" t="s">
        <v>172</v>
      </c>
      <c r="H2" s="147" t="s">
        <v>170</v>
      </c>
      <c r="I2" s="158"/>
      <c r="J2" s="141"/>
    </row>
    <row r="3" spans="1:10" s="327" customFormat="1" ht="50" customHeight="1" thickTop="1" thickBot="1" x14ac:dyDescent="0.4">
      <c r="A3" s="298" t="s">
        <v>302</v>
      </c>
      <c r="B3" s="299"/>
      <c r="C3" s="299"/>
      <c r="D3" s="299"/>
      <c r="E3" s="333" t="s">
        <v>301</v>
      </c>
      <c r="F3" s="333"/>
      <c r="G3" s="334"/>
      <c r="H3" s="334"/>
      <c r="I3" s="326"/>
      <c r="J3" s="335"/>
    </row>
    <row r="4" spans="1:10" ht="19" thickTop="1" x14ac:dyDescent="0.35">
      <c r="A4" s="138"/>
      <c r="B4" s="171"/>
      <c r="C4" s="167"/>
      <c r="D4" s="167"/>
      <c r="E4" s="167"/>
      <c r="F4" s="167"/>
      <c r="G4" s="167"/>
      <c r="H4" s="167"/>
      <c r="I4" s="170">
        <f>H5</f>
        <v>1</v>
      </c>
      <c r="J4" s="141"/>
    </row>
    <row r="5" spans="1:10" s="182" customFormat="1" ht="138" customHeight="1" thickBot="1" x14ac:dyDescent="0.4">
      <c r="A5" s="304"/>
      <c r="B5" s="185"/>
      <c r="C5" s="305" t="s">
        <v>305</v>
      </c>
      <c r="D5" s="306"/>
      <c r="E5" s="186" t="s">
        <v>420</v>
      </c>
      <c r="F5" s="321">
        <v>1</v>
      </c>
      <c r="G5" s="322">
        <v>1</v>
      </c>
      <c r="H5" s="323">
        <f t="shared" ref="H5" si="0">F5*G5</f>
        <v>1</v>
      </c>
      <c r="I5" s="190" t="s">
        <v>306</v>
      </c>
      <c r="J5" s="191"/>
    </row>
    <row r="6" spans="1:10" s="327" customFormat="1" ht="50" customHeight="1" thickTop="1" thickBot="1" x14ac:dyDescent="0.4">
      <c r="A6" s="298" t="s">
        <v>303</v>
      </c>
      <c r="B6" s="299"/>
      <c r="C6" s="299"/>
      <c r="D6" s="299"/>
      <c r="E6" s="336" t="s">
        <v>304</v>
      </c>
      <c r="F6" s="336"/>
      <c r="G6" s="336"/>
      <c r="H6" s="336"/>
      <c r="I6" s="336"/>
      <c r="J6" s="335"/>
    </row>
    <row r="7" spans="1:10" ht="19" thickTop="1" x14ac:dyDescent="0.35">
      <c r="A7" s="138"/>
      <c r="B7" s="171"/>
      <c r="C7" s="167"/>
      <c r="D7" s="167"/>
      <c r="E7" s="167"/>
      <c r="F7" s="167"/>
      <c r="G7" s="167"/>
      <c r="H7" s="167"/>
      <c r="I7" s="170">
        <f>H8</f>
        <v>1</v>
      </c>
      <c r="J7" s="141"/>
    </row>
    <row r="8" spans="1:10" s="182" customFormat="1" ht="124" customHeight="1" thickBot="1" x14ac:dyDescent="0.4">
      <c r="A8" s="304"/>
      <c r="B8" s="337"/>
      <c r="C8" s="338" t="s">
        <v>307</v>
      </c>
      <c r="D8" s="338"/>
      <c r="E8" s="186" t="s">
        <v>421</v>
      </c>
      <c r="F8" s="321">
        <v>1</v>
      </c>
      <c r="G8" s="322">
        <v>1</v>
      </c>
      <c r="H8" s="323">
        <f t="shared" ref="H8" si="1">F8*G8</f>
        <v>1</v>
      </c>
      <c r="I8" s="190" t="s">
        <v>308</v>
      </c>
      <c r="J8" s="191"/>
    </row>
    <row r="9" spans="1:10" ht="50" customHeight="1" thickTop="1" x14ac:dyDescent="0.35">
      <c r="A9" s="298" t="s">
        <v>90</v>
      </c>
      <c r="B9" s="299"/>
      <c r="C9" s="299"/>
      <c r="D9" s="299"/>
      <c r="E9" s="165"/>
      <c r="F9" s="141"/>
      <c r="G9" s="141"/>
      <c r="H9" s="141"/>
      <c r="I9" s="159"/>
      <c r="J9" s="141"/>
    </row>
    <row r="10" spans="1:10" ht="18.5" x14ac:dyDescent="0.35">
      <c r="A10" s="138"/>
      <c r="B10" s="171"/>
      <c r="C10" s="167"/>
      <c r="D10" s="167"/>
      <c r="E10" s="167"/>
      <c r="F10" s="167"/>
      <c r="G10" s="167"/>
      <c r="H10" s="167"/>
      <c r="I10" s="170">
        <f>AVERAGEIF(H11:H12,"&gt;0")</f>
        <v>1</v>
      </c>
      <c r="J10" s="141"/>
    </row>
    <row r="11" spans="1:10" s="182" customFormat="1" ht="159.5" customHeight="1" x14ac:dyDescent="0.35">
      <c r="A11" s="304"/>
      <c r="B11" s="185"/>
      <c r="C11" s="305" t="s">
        <v>309</v>
      </c>
      <c r="D11" s="306"/>
      <c r="E11" s="186" t="s">
        <v>422</v>
      </c>
      <c r="F11" s="321">
        <v>1</v>
      </c>
      <c r="G11" s="322">
        <v>1</v>
      </c>
      <c r="H11" s="323">
        <f t="shared" ref="H11:H12" si="2">F11*G11</f>
        <v>1</v>
      </c>
      <c r="I11" s="190" t="s">
        <v>310</v>
      </c>
      <c r="J11" s="191"/>
    </row>
    <row r="12" spans="1:10" s="182" customFormat="1" ht="96.5" customHeight="1" x14ac:dyDescent="0.35">
      <c r="A12" s="304"/>
      <c r="B12" s="185"/>
      <c r="C12" s="305" t="s">
        <v>311</v>
      </c>
      <c r="D12" s="306"/>
      <c r="E12" s="186" t="s">
        <v>423</v>
      </c>
      <c r="F12" s="321">
        <v>1</v>
      </c>
      <c r="G12" s="322">
        <v>1</v>
      </c>
      <c r="H12" s="323">
        <f t="shared" si="2"/>
        <v>1</v>
      </c>
      <c r="I12" s="207" t="s">
        <v>312</v>
      </c>
      <c r="J12" s="191"/>
    </row>
    <row r="13" spans="1:10" x14ac:dyDescent="0.35">
      <c r="A13" s="141"/>
      <c r="B13" s="141"/>
      <c r="C13" s="141"/>
      <c r="D13" s="141"/>
      <c r="E13" s="141"/>
      <c r="F13" s="141"/>
      <c r="G13" s="141"/>
      <c r="H13" s="141"/>
      <c r="I13" s="141"/>
      <c r="J13" s="141"/>
    </row>
  </sheetData>
  <customSheetViews>
    <customSheetView guid="{76686054-FB4D-4FEC-BFB1-B4B4AB4B4565}" scale="80" hiddenRows="1" hiddenColumns="1" topLeftCell="A17">
      <selection activeCell="E23" sqref="E23"/>
      <pageMargins left="0.7" right="0.7" top="0.75" bottom="0.75" header="0.3" footer="0.3"/>
      <pageSetup orientation="portrait" r:id="rId1"/>
    </customSheetView>
  </customSheetViews>
  <mergeCells count="8">
    <mergeCell ref="E6:I6"/>
    <mergeCell ref="C11:D11"/>
    <mergeCell ref="A9:D9"/>
    <mergeCell ref="C12:D12"/>
    <mergeCell ref="C8:D8"/>
    <mergeCell ref="C5:D5"/>
    <mergeCell ref="A3:D3"/>
    <mergeCell ref="A6:D6"/>
  </mergeCells>
  <dataValidations count="2">
    <dataValidation type="whole" allowBlank="1" showInputMessage="1" showErrorMessage="1" errorTitle="Wrong Number" error="Please enter a whole number between 1 and 9" sqref="F5 F11:F12 F8" xr:uid="{00000000-0002-0000-0600-000000000000}">
      <formula1>1</formula1>
      <formula2>9</formula2>
    </dataValidation>
    <dataValidation type="decimal" allowBlank="1" showInputMessage="1" showErrorMessage="1" errorTitle="Wrong Number" error="Enter a number between 0 and 1" sqref="G5 G11:G12 G8" xr:uid="{00000000-0002-0000-0600-000001000000}">
      <formula1>0</formula1>
      <formula2>1</formula2>
    </dataValidation>
  </dataValidations>
  <pageMargins left="0.7" right="0.7" top="0.75" bottom="0.75" header="0.3" footer="0.3"/>
  <pageSetup orientation="portrait"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28"/>
  <sheetViews>
    <sheetView topLeftCell="A22" zoomScale="85" zoomScaleNormal="85" workbookViewId="0">
      <selection activeCell="E27" sqref="E27"/>
    </sheetView>
  </sheetViews>
  <sheetFormatPr defaultColWidth="8.81640625" defaultRowHeight="14.5" x14ac:dyDescent="0.35"/>
  <cols>
    <col min="1" max="1" width="5.36328125" customWidth="1"/>
    <col min="2" max="2" width="6.453125" customWidth="1"/>
    <col min="3" max="3" width="5.453125" customWidth="1"/>
    <col min="4" max="5" width="75.453125" customWidth="1"/>
    <col min="6" max="8" width="14.453125" customWidth="1"/>
    <col min="9" max="9" width="75" customWidth="1"/>
    <col min="10" max="10" width="8.81640625" customWidth="1"/>
  </cols>
  <sheetData>
    <row r="1" spans="1:10" s="183" customFormat="1" ht="23.5" x14ac:dyDescent="0.55000000000000004">
      <c r="A1" s="141"/>
      <c r="B1" s="141"/>
      <c r="C1" s="141"/>
      <c r="D1" s="140" t="s">
        <v>68</v>
      </c>
      <c r="E1" s="140" t="s">
        <v>70</v>
      </c>
      <c r="F1" s="140" t="s">
        <v>69</v>
      </c>
      <c r="G1" s="140" t="s">
        <v>84</v>
      </c>
      <c r="H1" s="140" t="s">
        <v>85</v>
      </c>
      <c r="I1" s="157" t="s">
        <v>138</v>
      </c>
      <c r="J1" s="141"/>
    </row>
    <row r="2" spans="1:10" s="183" customFormat="1" ht="95" customHeight="1" thickBot="1" x14ac:dyDescent="0.6">
      <c r="A2" s="145"/>
      <c r="B2" s="145"/>
      <c r="C2" s="145"/>
      <c r="D2" s="146"/>
      <c r="E2" s="146"/>
      <c r="F2" s="147" t="s">
        <v>171</v>
      </c>
      <c r="G2" s="147" t="s">
        <v>172</v>
      </c>
      <c r="H2" s="147" t="s">
        <v>170</v>
      </c>
      <c r="I2" s="158"/>
      <c r="J2" s="141"/>
    </row>
    <row r="3" spans="1:10" ht="24" customHeight="1" thickTop="1" thickBot="1" x14ac:dyDescent="0.6">
      <c r="A3" s="298" t="s">
        <v>325</v>
      </c>
      <c r="B3" s="299"/>
      <c r="C3" s="299"/>
      <c r="D3" s="299"/>
      <c r="E3" s="332" t="s">
        <v>313</v>
      </c>
      <c r="F3" s="332"/>
      <c r="G3" s="332"/>
      <c r="H3" s="332"/>
      <c r="I3" s="332"/>
      <c r="J3" s="146"/>
    </row>
    <row r="4" spans="1:10" ht="19" thickTop="1" x14ac:dyDescent="0.35">
      <c r="A4" s="138"/>
      <c r="B4" s="171"/>
      <c r="C4" s="167"/>
      <c r="D4" s="167"/>
      <c r="E4" s="167"/>
      <c r="F4" s="167"/>
      <c r="G4" s="167"/>
      <c r="H4" s="167"/>
      <c r="I4" s="170">
        <f>AVERAGEIF(H5:H10,"&gt;0")</f>
        <v>1</v>
      </c>
      <c r="J4" s="141"/>
    </row>
    <row r="5" spans="1:10" s="182" customFormat="1" ht="122.5" customHeight="1" x14ac:dyDescent="0.35">
      <c r="A5" s="304"/>
      <c r="B5" s="185"/>
      <c r="C5" s="305" t="s">
        <v>316</v>
      </c>
      <c r="D5" s="306"/>
      <c r="E5" s="186" t="s">
        <v>424</v>
      </c>
      <c r="F5" s="321">
        <v>1</v>
      </c>
      <c r="G5" s="322">
        <v>1</v>
      </c>
      <c r="H5" s="323">
        <f t="shared" ref="H5:H10" si="0">F5*G5</f>
        <v>1</v>
      </c>
      <c r="I5" s="190" t="s">
        <v>317</v>
      </c>
      <c r="J5" s="191"/>
    </row>
    <row r="6" spans="1:10" s="182" customFormat="1" ht="189.5" customHeight="1" x14ac:dyDescent="0.35">
      <c r="A6" s="304"/>
      <c r="B6" s="185"/>
      <c r="C6" s="305" t="s">
        <v>318</v>
      </c>
      <c r="D6" s="306"/>
      <c r="E6" s="206" t="s">
        <v>425</v>
      </c>
      <c r="F6" s="321">
        <v>1</v>
      </c>
      <c r="G6" s="322">
        <v>1</v>
      </c>
      <c r="H6" s="323">
        <f t="shared" si="0"/>
        <v>1</v>
      </c>
      <c r="I6" s="190" t="s">
        <v>141</v>
      </c>
      <c r="J6" s="191"/>
    </row>
    <row r="7" spans="1:10" s="182" customFormat="1" ht="182.5" customHeight="1" x14ac:dyDescent="0.35">
      <c r="A7" s="304"/>
      <c r="B7" s="185"/>
      <c r="C7" s="305" t="s">
        <v>241</v>
      </c>
      <c r="D7" s="306"/>
      <c r="E7" s="186" t="s">
        <v>426</v>
      </c>
      <c r="F7" s="321">
        <v>1</v>
      </c>
      <c r="G7" s="322">
        <v>1</v>
      </c>
      <c r="H7" s="323">
        <f t="shared" si="0"/>
        <v>1</v>
      </c>
      <c r="I7" s="190" t="s">
        <v>319</v>
      </c>
      <c r="J7" s="191"/>
    </row>
    <row r="8" spans="1:10" s="182" customFormat="1" ht="109" customHeight="1" x14ac:dyDescent="0.35">
      <c r="A8" s="304"/>
      <c r="B8" s="185"/>
      <c r="C8" s="305" t="s">
        <v>320</v>
      </c>
      <c r="D8" s="306"/>
      <c r="E8" s="186" t="s">
        <v>427</v>
      </c>
      <c r="F8" s="321">
        <v>1</v>
      </c>
      <c r="G8" s="322">
        <v>1</v>
      </c>
      <c r="H8" s="323">
        <f t="shared" si="0"/>
        <v>1</v>
      </c>
      <c r="I8" s="190" t="s">
        <v>321</v>
      </c>
      <c r="J8" s="191"/>
    </row>
    <row r="9" spans="1:10" s="182" customFormat="1" ht="97" customHeight="1" x14ac:dyDescent="0.35">
      <c r="A9" s="304"/>
      <c r="B9" s="185"/>
      <c r="C9" s="305" t="s">
        <v>322</v>
      </c>
      <c r="D9" s="306"/>
      <c r="E9" s="186" t="s">
        <v>428</v>
      </c>
      <c r="F9" s="321">
        <v>1</v>
      </c>
      <c r="G9" s="322">
        <v>1</v>
      </c>
      <c r="H9" s="323">
        <f t="shared" si="0"/>
        <v>1</v>
      </c>
      <c r="I9" s="190" t="s">
        <v>323</v>
      </c>
      <c r="J9" s="191"/>
    </row>
    <row r="10" spans="1:10" s="182" customFormat="1" ht="137.5" customHeight="1" x14ac:dyDescent="0.35">
      <c r="A10" s="304"/>
      <c r="B10" s="185"/>
      <c r="C10" s="305" t="s">
        <v>95</v>
      </c>
      <c r="D10" s="306"/>
      <c r="E10" s="186" t="s">
        <v>429</v>
      </c>
      <c r="F10" s="321">
        <v>1</v>
      </c>
      <c r="G10" s="322">
        <v>1</v>
      </c>
      <c r="H10" s="323">
        <f t="shared" si="0"/>
        <v>1</v>
      </c>
      <c r="I10" s="190" t="s">
        <v>324</v>
      </c>
      <c r="J10" s="191"/>
    </row>
    <row r="11" spans="1:10" s="320" customFormat="1" ht="50" customHeight="1" x14ac:dyDescent="0.55000000000000004">
      <c r="A11" s="278" t="s">
        <v>314</v>
      </c>
      <c r="B11" s="325"/>
      <c r="C11" s="325"/>
      <c r="D11" s="325"/>
      <c r="E11" s="328" t="s">
        <v>315</v>
      </c>
      <c r="F11" s="328"/>
      <c r="G11" s="328"/>
      <c r="H11" s="328"/>
      <c r="I11" s="328"/>
      <c r="J11" s="319"/>
    </row>
    <row r="12" spans="1:10" ht="52" customHeight="1" x14ac:dyDescent="0.35">
      <c r="A12" s="138"/>
      <c r="B12" s="284" t="s">
        <v>326</v>
      </c>
      <c r="C12" s="285"/>
      <c r="D12" s="285"/>
      <c r="E12" s="285"/>
      <c r="F12" s="167"/>
      <c r="G12" s="167"/>
      <c r="H12" s="167"/>
      <c r="I12" s="170">
        <f>AVERAGEIF(H13:H14,"&gt;0")</f>
        <v>1</v>
      </c>
      <c r="J12" s="141"/>
    </row>
    <row r="13" spans="1:10" s="182" customFormat="1" ht="166" customHeight="1" x14ac:dyDescent="0.35">
      <c r="A13" s="304"/>
      <c r="B13" s="185"/>
      <c r="C13" s="305" t="s">
        <v>329</v>
      </c>
      <c r="D13" s="306"/>
      <c r="E13" s="186" t="s">
        <v>430</v>
      </c>
      <c r="F13" s="321">
        <v>1</v>
      </c>
      <c r="G13" s="322">
        <v>1</v>
      </c>
      <c r="H13" s="323">
        <f t="shared" ref="H13:H14" si="1">F13*G13</f>
        <v>1</v>
      </c>
      <c r="I13" s="207" t="s">
        <v>330</v>
      </c>
      <c r="J13" s="191"/>
    </row>
    <row r="14" spans="1:10" s="182" customFormat="1" ht="96.5" customHeight="1" x14ac:dyDescent="0.35">
      <c r="A14" s="304"/>
      <c r="B14" s="185"/>
      <c r="C14" s="305" t="s">
        <v>142</v>
      </c>
      <c r="D14" s="306"/>
      <c r="E14" s="186" t="s">
        <v>431</v>
      </c>
      <c r="F14" s="321">
        <v>1</v>
      </c>
      <c r="G14" s="322">
        <v>1</v>
      </c>
      <c r="H14" s="323">
        <f t="shared" si="1"/>
        <v>1</v>
      </c>
      <c r="I14" s="190" t="s">
        <v>331</v>
      </c>
      <c r="J14" s="191"/>
    </row>
    <row r="15" spans="1:10" ht="64.5" customHeight="1" x14ac:dyDescent="0.35">
      <c r="A15" s="138"/>
      <c r="B15" s="284" t="s">
        <v>327</v>
      </c>
      <c r="C15" s="285"/>
      <c r="D15" s="285"/>
      <c r="E15" s="285"/>
      <c r="F15" s="167"/>
      <c r="G15" s="167"/>
      <c r="H15" s="167"/>
      <c r="I15" s="170">
        <f>AVERAGEIF(H16:H18,"&gt;0")</f>
        <v>1</v>
      </c>
      <c r="J15" s="141"/>
    </row>
    <row r="16" spans="1:10" s="182" customFormat="1" ht="113.5" customHeight="1" x14ac:dyDescent="0.35">
      <c r="A16" s="304"/>
      <c r="B16" s="185"/>
      <c r="C16" s="305" t="s">
        <v>332</v>
      </c>
      <c r="D16" s="306"/>
      <c r="E16" s="186" t="s">
        <v>432</v>
      </c>
      <c r="F16" s="321">
        <v>1</v>
      </c>
      <c r="G16" s="322">
        <v>1</v>
      </c>
      <c r="H16" s="323">
        <f t="shared" ref="H16:H18" si="2">F16*G16</f>
        <v>1</v>
      </c>
      <c r="I16" s="207" t="s">
        <v>333</v>
      </c>
      <c r="J16" s="191"/>
    </row>
    <row r="17" spans="1:10" s="182" customFormat="1" ht="100" customHeight="1" x14ac:dyDescent="0.35">
      <c r="A17" s="304"/>
      <c r="B17" s="185"/>
      <c r="C17" s="305" t="s">
        <v>143</v>
      </c>
      <c r="D17" s="306"/>
      <c r="E17" s="206" t="s">
        <v>433</v>
      </c>
      <c r="F17" s="321">
        <v>1</v>
      </c>
      <c r="G17" s="322">
        <v>1</v>
      </c>
      <c r="H17" s="323">
        <f t="shared" si="2"/>
        <v>1</v>
      </c>
      <c r="I17" s="207" t="s">
        <v>334</v>
      </c>
      <c r="J17" s="191"/>
    </row>
    <row r="18" spans="1:10" s="182" customFormat="1" ht="91" customHeight="1" x14ac:dyDescent="0.35">
      <c r="A18" s="304"/>
      <c r="B18" s="185"/>
      <c r="C18" s="305" t="s">
        <v>335</v>
      </c>
      <c r="D18" s="306"/>
      <c r="E18" s="186" t="s">
        <v>434</v>
      </c>
      <c r="F18" s="321">
        <v>1</v>
      </c>
      <c r="G18" s="322">
        <v>1</v>
      </c>
      <c r="H18" s="323">
        <f t="shared" si="2"/>
        <v>1</v>
      </c>
      <c r="I18" s="207" t="s">
        <v>336</v>
      </c>
      <c r="J18" s="191"/>
    </row>
    <row r="19" spans="1:10" ht="51" customHeight="1" x14ac:dyDescent="0.35">
      <c r="A19" s="138"/>
      <c r="B19" s="284" t="s">
        <v>328</v>
      </c>
      <c r="C19" s="285"/>
      <c r="D19" s="285"/>
      <c r="E19" s="285"/>
      <c r="F19" s="167"/>
      <c r="G19" s="167"/>
      <c r="H19" s="167"/>
      <c r="I19" s="170">
        <f>AVERAGEIF(H20:H21,"&gt;0")</f>
        <v>1</v>
      </c>
      <c r="J19" s="141"/>
    </row>
    <row r="20" spans="1:10" s="182" customFormat="1" ht="192.5" customHeight="1" x14ac:dyDescent="0.35">
      <c r="A20" s="304"/>
      <c r="B20" s="185"/>
      <c r="C20" s="305" t="s">
        <v>144</v>
      </c>
      <c r="D20" s="306"/>
      <c r="E20" s="206" t="s">
        <v>435</v>
      </c>
      <c r="F20" s="321">
        <v>1</v>
      </c>
      <c r="G20" s="322">
        <v>1</v>
      </c>
      <c r="H20" s="323">
        <f>F20*G20</f>
        <v>1</v>
      </c>
      <c r="I20" s="190" t="s">
        <v>337</v>
      </c>
      <c r="J20" s="191"/>
    </row>
    <row r="21" spans="1:10" s="182" customFormat="1" ht="173" customHeight="1" x14ac:dyDescent="0.35">
      <c r="A21" s="304"/>
      <c r="B21" s="185"/>
      <c r="C21" s="306" t="s">
        <v>145</v>
      </c>
      <c r="D21" s="306"/>
      <c r="E21" s="206" t="s">
        <v>436</v>
      </c>
      <c r="F21" s="321">
        <v>1</v>
      </c>
      <c r="G21" s="322">
        <v>1</v>
      </c>
      <c r="H21" s="323">
        <f t="shared" ref="H21" si="3">F21*G21</f>
        <v>1</v>
      </c>
      <c r="I21" s="190" t="s">
        <v>338</v>
      </c>
      <c r="J21" s="191"/>
    </row>
    <row r="22" spans="1:10" ht="48" customHeight="1" x14ac:dyDescent="0.35">
      <c r="A22" s="138"/>
      <c r="B22" s="284" t="s">
        <v>339</v>
      </c>
      <c r="C22" s="285"/>
      <c r="D22" s="285"/>
      <c r="E22" s="285"/>
      <c r="F22" s="167"/>
      <c r="G22" s="167"/>
      <c r="H22" s="167"/>
      <c r="I22" s="170">
        <f>H23</f>
        <v>1</v>
      </c>
      <c r="J22" s="141"/>
    </row>
    <row r="23" spans="1:10" s="182" customFormat="1" ht="95.5" customHeight="1" x14ac:dyDescent="0.35">
      <c r="A23" s="304"/>
      <c r="B23" s="185"/>
      <c r="C23" s="305" t="s">
        <v>146</v>
      </c>
      <c r="D23" s="306"/>
      <c r="E23" s="186" t="s">
        <v>437</v>
      </c>
      <c r="F23" s="321">
        <v>1</v>
      </c>
      <c r="G23" s="322">
        <v>1</v>
      </c>
      <c r="H23" s="323">
        <f t="shared" ref="H23" si="4">F23*G23</f>
        <v>1</v>
      </c>
      <c r="I23" s="190" t="s">
        <v>340</v>
      </c>
      <c r="J23" s="191"/>
    </row>
    <row r="24" spans="1:10" ht="54.5" customHeight="1" x14ac:dyDescent="0.35">
      <c r="A24" s="138"/>
      <c r="B24" s="284" t="s">
        <v>341</v>
      </c>
      <c r="C24" s="285"/>
      <c r="D24" s="285"/>
      <c r="E24" s="285"/>
      <c r="F24" s="167"/>
      <c r="G24" s="167"/>
      <c r="H24" s="167"/>
      <c r="I24" s="170">
        <f>H25</f>
        <v>1</v>
      </c>
      <c r="J24" s="141"/>
    </row>
    <row r="25" spans="1:10" s="182" customFormat="1" ht="150" customHeight="1" x14ac:dyDescent="0.35">
      <c r="A25" s="304"/>
      <c r="B25" s="185"/>
      <c r="C25" s="305" t="s">
        <v>342</v>
      </c>
      <c r="D25" s="306"/>
      <c r="E25" s="186" t="s">
        <v>438</v>
      </c>
      <c r="F25" s="321">
        <v>1</v>
      </c>
      <c r="G25" s="322">
        <v>1</v>
      </c>
      <c r="H25" s="323">
        <f t="shared" ref="H25" si="5">F25*G25</f>
        <v>1</v>
      </c>
      <c r="I25" s="339" t="s">
        <v>343</v>
      </c>
      <c r="J25" s="191"/>
    </row>
    <row r="26" spans="1:10" ht="49" customHeight="1" x14ac:dyDescent="0.35">
      <c r="A26" s="138"/>
      <c r="B26" s="284" t="s">
        <v>344</v>
      </c>
      <c r="C26" s="285"/>
      <c r="D26" s="285"/>
      <c r="E26" s="285"/>
      <c r="F26" s="167"/>
      <c r="G26" s="167"/>
      <c r="H26" s="167"/>
      <c r="I26" s="170">
        <f>H27</f>
        <v>1</v>
      </c>
      <c r="J26" s="141"/>
    </row>
    <row r="27" spans="1:10" s="182" customFormat="1" ht="147" customHeight="1" x14ac:dyDescent="0.35">
      <c r="A27" s="304"/>
      <c r="B27" s="185"/>
      <c r="C27" s="330" t="s">
        <v>345</v>
      </c>
      <c r="D27" s="331"/>
      <c r="E27" s="186" t="s">
        <v>439</v>
      </c>
      <c r="F27" s="187">
        <v>1</v>
      </c>
      <c r="G27" s="188">
        <v>1</v>
      </c>
      <c r="H27" s="189">
        <f t="shared" ref="H27" si="6">F27*G27</f>
        <v>1</v>
      </c>
      <c r="I27" s="190" t="s">
        <v>346</v>
      </c>
      <c r="J27" s="191"/>
    </row>
    <row r="28" spans="1:10" x14ac:dyDescent="0.35">
      <c r="A28" s="141"/>
      <c r="B28" s="141"/>
      <c r="C28" s="141"/>
      <c r="D28" s="141"/>
      <c r="E28" s="141"/>
      <c r="F28" s="141"/>
      <c r="G28" s="141"/>
      <c r="H28" s="141"/>
      <c r="I28" s="141"/>
      <c r="J28" s="141"/>
    </row>
  </sheetData>
  <customSheetViews>
    <customSheetView guid="{76686054-FB4D-4FEC-BFB1-B4B4AB4B4565}" scale="80" hiddenRows="1" hiddenColumns="1" topLeftCell="E7">
      <selection activeCell="P7" sqref="P1:P1048576"/>
      <pageMargins left="0.7" right="0.7" top="0.75" bottom="0.75" header="0.3" footer="0.3"/>
      <pageSetup orientation="portrait" r:id="rId1"/>
    </customSheetView>
  </customSheetViews>
  <mergeCells count="26">
    <mergeCell ref="B24:E24"/>
    <mergeCell ref="C25:D25"/>
    <mergeCell ref="B22:E22"/>
    <mergeCell ref="C23:D23"/>
    <mergeCell ref="C21:D21"/>
    <mergeCell ref="C20:D20"/>
    <mergeCell ref="B19:E19"/>
    <mergeCell ref="C16:D16"/>
    <mergeCell ref="C17:D17"/>
    <mergeCell ref="C18:D18"/>
    <mergeCell ref="B15:E15"/>
    <mergeCell ref="A3:D3"/>
    <mergeCell ref="E3:I3"/>
    <mergeCell ref="A11:D11"/>
    <mergeCell ref="B26:E26"/>
    <mergeCell ref="C27:D27"/>
    <mergeCell ref="B12:E12"/>
    <mergeCell ref="C5:D5"/>
    <mergeCell ref="C6:D6"/>
    <mergeCell ref="C8:D8"/>
    <mergeCell ref="C9:D9"/>
    <mergeCell ref="C10:D10"/>
    <mergeCell ref="C7:D7"/>
    <mergeCell ref="C13:D13"/>
    <mergeCell ref="C14:D14"/>
    <mergeCell ref="E11:I11"/>
  </mergeCells>
  <dataValidations count="2">
    <dataValidation type="decimal" allowBlank="1" showInputMessage="1" showErrorMessage="1" errorTitle="Wrong Number" error="Enter a number between 0 and 1" sqref="G16:G18 G5:G10 G25 G27 G13:G14 G20:G21 G23" xr:uid="{00000000-0002-0000-0700-000000000000}">
      <formula1>0</formula1>
      <formula2>1</formula2>
    </dataValidation>
    <dataValidation type="whole" allowBlank="1" showInputMessage="1" showErrorMessage="1" errorTitle="Wrong Number" error="Please enter a whole number between 1 and 9" sqref="F16:F18 F5:F10 F25 F27 F13:F14 F20:F21 F23" xr:uid="{00000000-0002-0000-0700-000001000000}">
      <formula1>1</formula1>
      <formula2>9</formula2>
    </dataValidation>
  </dataValidation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J13"/>
  <sheetViews>
    <sheetView topLeftCell="A8" zoomScale="85" zoomScaleNormal="85" workbookViewId="0">
      <selection activeCell="E14" sqref="E14"/>
    </sheetView>
  </sheetViews>
  <sheetFormatPr defaultColWidth="8.81640625" defaultRowHeight="14.5" x14ac:dyDescent="0.35"/>
  <cols>
    <col min="1" max="1" width="5.36328125" customWidth="1"/>
    <col min="2" max="2" width="6.453125" customWidth="1"/>
    <col min="3" max="3" width="5.453125" customWidth="1"/>
    <col min="4" max="4" width="75.453125" customWidth="1"/>
    <col min="5" max="5" width="90.453125" customWidth="1"/>
    <col min="6" max="8" width="14.453125" customWidth="1"/>
    <col min="9" max="9" width="75" customWidth="1"/>
    <col min="10" max="10" width="8.81640625" customWidth="1"/>
  </cols>
  <sheetData>
    <row r="1" spans="1:10" s="183" customFormat="1" ht="23.5" x14ac:dyDescent="0.55000000000000004">
      <c r="A1" s="141"/>
      <c r="B1" s="141"/>
      <c r="C1" s="141"/>
      <c r="D1" s="140" t="s">
        <v>68</v>
      </c>
      <c r="E1" s="140" t="s">
        <v>70</v>
      </c>
      <c r="F1" s="140" t="s">
        <v>69</v>
      </c>
      <c r="G1" s="140" t="s">
        <v>84</v>
      </c>
      <c r="H1" s="140" t="s">
        <v>85</v>
      </c>
      <c r="I1" s="157" t="s">
        <v>138</v>
      </c>
      <c r="J1" s="141"/>
    </row>
    <row r="2" spans="1:10" s="183" customFormat="1" ht="95" customHeight="1" thickBot="1" x14ac:dyDescent="0.6">
      <c r="A2" s="145"/>
      <c r="B2" s="145"/>
      <c r="C2" s="145"/>
      <c r="D2" s="146"/>
      <c r="E2" s="146"/>
      <c r="F2" s="147" t="s">
        <v>171</v>
      </c>
      <c r="G2" s="147" t="s">
        <v>172</v>
      </c>
      <c r="H2" s="147" t="s">
        <v>170</v>
      </c>
      <c r="I2" s="158"/>
      <c r="J2" s="141"/>
    </row>
    <row r="3" spans="1:10" ht="24" customHeight="1" thickTop="1" thickBot="1" x14ac:dyDescent="0.6">
      <c r="A3" s="278" t="s">
        <v>347</v>
      </c>
      <c r="B3" s="279"/>
      <c r="C3" s="279"/>
      <c r="D3" s="279"/>
      <c r="E3" s="141"/>
      <c r="F3" s="141"/>
      <c r="G3" s="141"/>
      <c r="H3" s="141"/>
      <c r="I3" s="141"/>
      <c r="J3" s="146"/>
    </row>
    <row r="4" spans="1:10" ht="19" thickTop="1" x14ac:dyDescent="0.35">
      <c r="A4" s="138"/>
      <c r="B4" s="171"/>
      <c r="C4" s="167"/>
      <c r="D4" s="167"/>
      <c r="E4" s="167"/>
      <c r="F4" s="167"/>
      <c r="G4" s="167"/>
      <c r="H4" s="167"/>
      <c r="I4" s="170">
        <f>AVERAGEIF(H5:H12,"&gt;0")</f>
        <v>1</v>
      </c>
      <c r="J4" s="141"/>
    </row>
    <row r="5" spans="1:10" s="182" customFormat="1" ht="119" customHeight="1" x14ac:dyDescent="0.35">
      <c r="A5" s="304"/>
      <c r="B5" s="185"/>
      <c r="C5" s="305" t="s">
        <v>348</v>
      </c>
      <c r="D5" s="306"/>
      <c r="E5" s="186" t="s">
        <v>440</v>
      </c>
      <c r="F5" s="321">
        <v>1</v>
      </c>
      <c r="G5" s="322">
        <v>1</v>
      </c>
      <c r="H5" s="323">
        <f t="shared" ref="H5:H12" si="0">F5*G5</f>
        <v>1</v>
      </c>
      <c r="I5" s="190" t="s">
        <v>349</v>
      </c>
      <c r="J5" s="191"/>
    </row>
    <row r="6" spans="1:10" s="182" customFormat="1" ht="83.5" customHeight="1" x14ac:dyDescent="0.35">
      <c r="A6" s="304"/>
      <c r="B6" s="185"/>
      <c r="C6" s="305" t="s">
        <v>67</v>
      </c>
      <c r="D6" s="306"/>
      <c r="E6" s="206" t="s">
        <v>441</v>
      </c>
      <c r="F6" s="321">
        <v>1</v>
      </c>
      <c r="G6" s="322">
        <v>1</v>
      </c>
      <c r="H6" s="323">
        <f t="shared" si="0"/>
        <v>1</v>
      </c>
      <c r="I6" s="190" t="s">
        <v>350</v>
      </c>
      <c r="J6" s="191"/>
    </row>
    <row r="7" spans="1:10" s="182" customFormat="1" ht="99" customHeight="1" x14ac:dyDescent="0.35">
      <c r="A7" s="304"/>
      <c r="B7" s="185"/>
      <c r="C7" s="305" t="s">
        <v>351</v>
      </c>
      <c r="D7" s="306"/>
      <c r="E7" s="206" t="s">
        <v>443</v>
      </c>
      <c r="F7" s="321">
        <v>1</v>
      </c>
      <c r="G7" s="322">
        <v>1</v>
      </c>
      <c r="H7" s="323">
        <f t="shared" si="0"/>
        <v>1</v>
      </c>
      <c r="I7" s="190" t="s">
        <v>352</v>
      </c>
      <c r="J7" s="191"/>
    </row>
    <row r="8" spans="1:10" s="182" customFormat="1" ht="95.5" customHeight="1" x14ac:dyDescent="0.35">
      <c r="A8" s="304"/>
      <c r="B8" s="185"/>
      <c r="C8" s="305" t="s">
        <v>71</v>
      </c>
      <c r="D8" s="306"/>
      <c r="E8" s="186" t="s">
        <v>442</v>
      </c>
      <c r="F8" s="321">
        <v>1</v>
      </c>
      <c r="G8" s="322">
        <v>1</v>
      </c>
      <c r="H8" s="323">
        <f t="shared" si="0"/>
        <v>1</v>
      </c>
      <c r="I8" s="190" t="s">
        <v>353</v>
      </c>
      <c r="J8" s="191"/>
    </row>
    <row r="9" spans="1:10" s="182" customFormat="1" ht="93.5" customHeight="1" x14ac:dyDescent="0.35">
      <c r="A9" s="304"/>
      <c r="B9" s="185"/>
      <c r="C9" s="305" t="s">
        <v>354</v>
      </c>
      <c r="D9" s="306"/>
      <c r="E9" s="186" t="s">
        <v>444</v>
      </c>
      <c r="F9" s="321">
        <v>1</v>
      </c>
      <c r="G9" s="322">
        <v>1</v>
      </c>
      <c r="H9" s="323">
        <f t="shared" ref="H9" si="1">F9*G9</f>
        <v>1</v>
      </c>
      <c r="I9" s="190" t="s">
        <v>355</v>
      </c>
      <c r="J9" s="191"/>
    </row>
    <row r="10" spans="1:10" s="182" customFormat="1" ht="124.5" customHeight="1" x14ac:dyDescent="0.35">
      <c r="A10" s="304"/>
      <c r="B10" s="185"/>
      <c r="C10" s="305" t="s">
        <v>356</v>
      </c>
      <c r="D10" s="306"/>
      <c r="E10" s="186" t="s">
        <v>445</v>
      </c>
      <c r="F10" s="321">
        <v>1</v>
      </c>
      <c r="G10" s="322">
        <v>1</v>
      </c>
      <c r="H10" s="323">
        <f t="shared" si="0"/>
        <v>1</v>
      </c>
      <c r="I10" s="190" t="s">
        <v>357</v>
      </c>
      <c r="J10" s="191"/>
    </row>
    <row r="11" spans="1:10" s="182" customFormat="1" ht="127.5" customHeight="1" x14ac:dyDescent="0.35">
      <c r="A11" s="304"/>
      <c r="B11" s="185"/>
      <c r="C11" s="305" t="s">
        <v>358</v>
      </c>
      <c r="D11" s="306"/>
      <c r="E11" s="186" t="s">
        <v>446</v>
      </c>
      <c r="F11" s="321">
        <v>1</v>
      </c>
      <c r="G11" s="322">
        <v>1</v>
      </c>
      <c r="H11" s="323">
        <f t="shared" si="0"/>
        <v>1</v>
      </c>
      <c r="I11" s="190" t="s">
        <v>359</v>
      </c>
      <c r="J11" s="191"/>
    </row>
    <row r="12" spans="1:10" s="182" customFormat="1" ht="83" customHeight="1" x14ac:dyDescent="0.35">
      <c r="A12" s="304"/>
      <c r="B12" s="185"/>
      <c r="C12" s="305" t="s">
        <v>360</v>
      </c>
      <c r="D12" s="306"/>
      <c r="E12" s="186" t="s">
        <v>447</v>
      </c>
      <c r="F12" s="321">
        <v>1</v>
      </c>
      <c r="G12" s="322">
        <v>1</v>
      </c>
      <c r="H12" s="323">
        <f t="shared" si="0"/>
        <v>1</v>
      </c>
      <c r="I12" s="190" t="s">
        <v>361</v>
      </c>
      <c r="J12" s="191"/>
    </row>
    <row r="13" spans="1:10" x14ac:dyDescent="0.35">
      <c r="A13" s="141"/>
      <c r="B13" s="141"/>
      <c r="C13" s="141"/>
      <c r="D13" s="141"/>
      <c r="E13" s="141"/>
      <c r="F13" s="141"/>
      <c r="G13" s="141"/>
      <c r="H13" s="141"/>
      <c r="I13" s="141"/>
      <c r="J13" s="141"/>
    </row>
  </sheetData>
  <customSheetViews>
    <customSheetView guid="{76686054-FB4D-4FEC-BFB1-B4B4AB4B4565}" scale="80" hiddenRows="1" hiddenColumns="1" topLeftCell="E1">
      <selection activeCell="P1" sqref="P1:P1048576"/>
      <pageMargins left="0.7" right="0.7" top="0.75" bottom="0.75" header="0.3" footer="0.3"/>
    </customSheetView>
  </customSheetViews>
  <mergeCells count="9">
    <mergeCell ref="C11:D11"/>
    <mergeCell ref="C12:D12"/>
    <mergeCell ref="A3:D3"/>
    <mergeCell ref="C5:D5"/>
    <mergeCell ref="C6:D6"/>
    <mergeCell ref="C7:D7"/>
    <mergeCell ref="C8:D8"/>
    <mergeCell ref="C10:D10"/>
    <mergeCell ref="C9:D9"/>
  </mergeCells>
  <dataValidations count="2">
    <dataValidation type="whole" allowBlank="1" showInputMessage="1" showErrorMessage="1" errorTitle="Wrong Number" error="Please enter a whole number between 1 and 9" sqref="F5:F12" xr:uid="{00000000-0002-0000-0800-000000000000}">
      <formula1>1</formula1>
      <formula2>9</formula2>
    </dataValidation>
    <dataValidation type="decimal" allowBlank="1" showInputMessage="1" showErrorMessage="1" errorTitle="Wrong Number" error="Enter a number between 0 and 1" sqref="G5:G12" xr:uid="{00000000-0002-0000-0800-000001000000}">
      <formula1>0</formula1>
      <formula2>1</formula2>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D10"/>
  <sheetViews>
    <sheetView zoomScale="70" zoomScaleNormal="70" workbookViewId="0">
      <selection activeCell="C4" sqref="C4"/>
    </sheetView>
  </sheetViews>
  <sheetFormatPr defaultColWidth="8.81640625" defaultRowHeight="14.5" x14ac:dyDescent="0.35"/>
  <cols>
    <col min="1" max="1" width="19.453125" customWidth="1"/>
    <col min="2" max="2" width="101.36328125" customWidth="1"/>
    <col min="3" max="3" width="108" customWidth="1"/>
    <col min="4" max="4" width="70" customWidth="1"/>
  </cols>
  <sheetData>
    <row r="3" spans="1:4" ht="21" x14ac:dyDescent="0.5">
      <c r="A3" s="152"/>
      <c r="B3" s="152" t="s">
        <v>74</v>
      </c>
      <c r="C3" s="152" t="s">
        <v>362</v>
      </c>
      <c r="D3" s="152" t="s">
        <v>129</v>
      </c>
    </row>
    <row r="4" spans="1:4" ht="189" customHeight="1" x14ac:dyDescent="0.35">
      <c r="A4" s="151" t="s">
        <v>73</v>
      </c>
      <c r="B4" s="150" t="s">
        <v>364</v>
      </c>
      <c r="C4" s="150" t="s">
        <v>130</v>
      </c>
      <c r="D4" s="150" t="s">
        <v>363</v>
      </c>
    </row>
    <row r="5" spans="1:4" ht="189" customHeight="1" x14ac:dyDescent="0.35">
      <c r="A5" s="151" t="s">
        <v>80</v>
      </c>
      <c r="B5" s="150" t="s">
        <v>75</v>
      </c>
      <c r="C5" s="150" t="s">
        <v>131</v>
      </c>
      <c r="D5" s="150" t="s">
        <v>76</v>
      </c>
    </row>
    <row r="6" spans="1:4" ht="304.5" x14ac:dyDescent="0.35">
      <c r="A6" s="151" t="s">
        <v>81</v>
      </c>
      <c r="B6" s="150" t="s">
        <v>132</v>
      </c>
      <c r="C6" s="150" t="s">
        <v>77</v>
      </c>
      <c r="D6" s="150" t="s">
        <v>78</v>
      </c>
    </row>
    <row r="7" spans="1:4" ht="409.5" customHeight="1" x14ac:dyDescent="0.35">
      <c r="A7" s="300" t="s">
        <v>79</v>
      </c>
      <c r="B7" s="209" t="s">
        <v>133</v>
      </c>
      <c r="C7" s="209" t="s">
        <v>134</v>
      </c>
      <c r="D7" s="209" t="s">
        <v>135</v>
      </c>
    </row>
    <row r="8" spans="1:4" ht="105.75" customHeight="1" x14ac:dyDescent="0.35">
      <c r="A8" s="300"/>
      <c r="B8" s="209"/>
      <c r="C8" s="209"/>
      <c r="D8" s="209"/>
    </row>
    <row r="9" spans="1:4" ht="409.5" customHeight="1" x14ac:dyDescent="0.35">
      <c r="A9" s="302"/>
      <c r="B9" s="301" t="s">
        <v>136</v>
      </c>
      <c r="C9" s="303" t="s">
        <v>137</v>
      </c>
      <c r="D9" s="301" t="s">
        <v>82</v>
      </c>
    </row>
    <row r="10" spans="1:4" ht="98.25" customHeight="1" x14ac:dyDescent="0.35">
      <c r="A10" s="302"/>
      <c r="B10" s="301"/>
      <c r="C10" s="302"/>
      <c r="D10" s="302"/>
    </row>
  </sheetData>
  <customSheetViews>
    <customSheetView guid="{76686054-FB4D-4FEC-BFB1-B4B4AB4B4565}">
      <selection activeCell="G10" sqref="G10"/>
      <pageMargins left="0.7" right="0.7" top="0.75" bottom="0.75" header="0.3" footer="0.3"/>
      <pageSetup orientation="portrait" r:id="rId1"/>
    </customSheetView>
  </customSheetViews>
  <mergeCells count="8">
    <mergeCell ref="B7:B8"/>
    <mergeCell ref="C7:C8"/>
    <mergeCell ref="D7:D8"/>
    <mergeCell ref="A7:A8"/>
    <mergeCell ref="B9:B10"/>
    <mergeCell ref="A9:A10"/>
    <mergeCell ref="C9:C10"/>
    <mergeCell ref="D9:D10"/>
  </mergeCell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Tool Overview</vt:lpstr>
      <vt:lpstr>TPL scoring</vt:lpstr>
      <vt:lpstr>Cost of Energy</vt:lpstr>
      <vt:lpstr>Investment Opportunity</vt:lpstr>
      <vt:lpstr>Grid Operations</vt:lpstr>
      <vt:lpstr>Beneficial to Society</vt:lpstr>
      <vt:lpstr>Permitting and Certification</vt:lpstr>
      <vt:lpstr> Safety and Function</vt:lpstr>
      <vt:lpstr>Globally</vt:lpstr>
      <vt:lpstr>TRL Def</vt:lpstr>
      <vt:lpstr>'TPL scoring'!Attractive_C2</vt:lpstr>
      <vt:lpstr>'TPL scoring'!Available</vt:lpstr>
      <vt:lpstr>'TPL scoring'!Beneficial_C4</vt:lpstr>
      <vt:lpstr>'TPL scoring'!CAPEX</vt:lpstr>
      <vt:lpstr>'TPL scoring'!CostEffectiveness</vt:lpstr>
      <vt:lpstr>'TPL scoring'!Generate</vt:lpstr>
      <vt:lpstr>'TPL scoring'!Global_C7</vt:lpstr>
      <vt:lpstr>'TPL scoring'!Grid_C3</vt:lpstr>
      <vt:lpstr>'TPL scoring'!Market_C1</vt:lpstr>
      <vt:lpstr>'TPL scoring'!OPEX</vt:lpstr>
      <vt:lpstr>'TPL scoring'!Permit_C5</vt:lpstr>
      <vt:lpstr>'TPL scoring'!Safety_C6</vt:lpstr>
    </vt:vector>
  </TitlesOfParts>
  <Company>Wave Venture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Technology Performance Level</dc:title>
  <dc:subject>Technology Performance Level</dc:subject>
  <dc:creator>Ronan Costello</dc:creator>
  <cp:keywords>Wave Energy, TPL</cp:keywords>
  <dc:description>www.wave-venture.com
TPLv2 Assessment Tool</dc:description>
  <cp:lastModifiedBy>Vaughn Liles, Amy</cp:lastModifiedBy>
  <cp:lastPrinted>2018-01-12T15:50:25Z</cp:lastPrinted>
  <dcterms:created xsi:type="dcterms:W3CDTF">2016-02-17T14:35:24Z</dcterms:created>
  <dcterms:modified xsi:type="dcterms:W3CDTF">2020-03-17T21:10:51Z</dcterms:modified>
  <cp:category>Wave Energy</cp:category>
</cp:coreProperties>
</file>